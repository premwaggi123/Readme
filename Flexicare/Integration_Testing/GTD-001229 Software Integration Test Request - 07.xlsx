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yush.Pareek\Documents\Windchill\Product\155 - ProVu Accessories\Documents\Design\Mindteck Test Scripts\"/>
    </mc:Choice>
  </mc:AlternateContent>
  <xr:revisionPtr revIDLastSave="0" documentId="8_{2D409289-B7B8-44FB-9269-0D07A6713EAD}" xr6:coauthVersionLast="47" xr6:coauthVersionMax="47" xr10:uidLastSave="{00000000-0000-0000-0000-000000000000}"/>
  <bookViews>
    <workbookView xWindow="-108" yWindow="-108" windowWidth="23256" windowHeight="12456" xr2:uid="{00000000-000D-0000-FFFF-FFFF00000000}"/>
  </bookViews>
  <sheets>
    <sheet name="CoverPage" sheetId="1" r:id="rId1"/>
    <sheet name="About " sheetId="2" r:id="rId2"/>
    <sheet name="Test Script" sheetId="3" r:id="rId3"/>
  </sheets>
  <definedNames>
    <definedName name="_xlnm._FilterDatabase" localSheetId="2" hidden="1">'Test Script'!$A$2:$D$54</definedName>
    <definedName name="_Toc185239913" localSheetId="0">CoverPage!#REF!</definedName>
    <definedName name="_Toc185239914" localSheetId="0">CoverPage!#REF!</definedName>
    <definedName name="_xlnm.Print_Area" localSheetId="1">'About '!$A$1:$I$25</definedName>
    <definedName name="_xlnm.Print_Area" localSheetId="0">CoverPage!$A$1:$F$35</definedName>
    <definedName name="_xlnm.Print_Area" localSheetId="2">'Test Script'!$A$1:$D$54</definedName>
    <definedName name="_xlnm.Print_Titles" localSheetId="2">'Test Script'!$1:$2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3" l="1"/>
  <c r="A10" i="3" s="1"/>
  <c r="A11" i="3" s="1"/>
  <c r="A12" i="3" s="1"/>
  <c r="A13" i="3" s="1"/>
  <c r="A14" i="3" s="1"/>
  <c r="A15" i="3" s="1"/>
  <c r="A16" i="3" s="1"/>
  <c r="A17" i="3" s="1"/>
  <c r="A18" i="3" s="1"/>
  <c r="A19" i="3" s="1"/>
  <c r="A20" i="3" s="1"/>
  <c r="A21" i="3" s="1"/>
  <c r="A22" i="3" s="1"/>
  <c r="A1" i="3"/>
  <c r="A24" i="3" l="1"/>
  <c r="A25" i="3" s="1"/>
  <c r="A26" i="3" s="1"/>
  <c r="A27" i="3" s="1"/>
  <c r="A28" i="3" s="1"/>
  <c r="A29" i="3" s="1"/>
  <c r="A30" i="3" s="1"/>
  <c r="A31" i="3" s="1"/>
  <c r="A32" i="3" s="1"/>
  <c r="A33" i="3" s="1"/>
  <c r="A34" i="3" s="1"/>
  <c r="A35" i="3" s="1"/>
  <c r="A36" i="3" s="1"/>
  <c r="A37" i="3" s="1"/>
  <c r="A38" i="3" s="1"/>
  <c r="A39" i="3" s="1"/>
  <c r="A40" i="3" s="1"/>
  <c r="A41" i="3" s="1"/>
  <c r="A43" i="3" s="1"/>
  <c r="A44" i="3" s="1"/>
  <c r="A45" i="3" s="1"/>
  <c r="A46" i="3" s="1"/>
  <c r="A47" i="3" s="1"/>
  <c r="A49" i="3" s="1"/>
  <c r="A51" i="3" s="1"/>
  <c r="A52" i="3" s="1"/>
  <c r="A53" i="3" s="1"/>
  <c r="A54" i="3" s="1"/>
</calcChain>
</file>

<file path=xl/sharedStrings.xml><?xml version="1.0" encoding="utf-8"?>
<sst xmlns="http://schemas.openxmlformats.org/spreadsheetml/2006/main" count="205" uniqueCount="176">
  <si>
    <t>155 - ProVu Accessories</t>
  </si>
  <si>
    <t>ProVu Vista Display – Software Integration Test Request - 07</t>
  </si>
  <si>
    <t>Project:</t>
  </si>
  <si>
    <t>Document ID/Version:</t>
  </si>
  <si>
    <t>DOCUMENT HISTORY</t>
  </si>
  <si>
    <t>Version</t>
  </si>
  <si>
    <t>Document Changes</t>
  </si>
  <si>
    <t>Author</t>
  </si>
  <si>
    <t>Date</t>
  </si>
  <si>
    <t>A</t>
  </si>
  <si>
    <t>Initial release</t>
  </si>
  <si>
    <t>Ayush Pareek</t>
  </si>
  <si>
    <t>Associated Documents</t>
  </si>
  <si>
    <t xml:space="preserve">Document No </t>
  </si>
  <si>
    <t>Document Title</t>
  </si>
  <si>
    <t>Attachment</t>
  </si>
  <si>
    <t xml:space="preserve"> Name</t>
  </si>
  <si>
    <t>Description And Summary</t>
  </si>
  <si>
    <t>GTD-001229:  Software Integration Test Request -07</t>
  </si>
  <si>
    <t>Test Request Information</t>
  </si>
  <si>
    <t>Revision</t>
  </si>
  <si>
    <t>Reference</t>
  </si>
  <si>
    <t>Software Test Plan (GTD-000993)</t>
  </si>
  <si>
    <t xml:space="preserve">Test objective </t>
  </si>
  <si>
    <t>Test Coverage</t>
  </si>
  <si>
    <t>Test Execution Instructions</t>
  </si>
  <si>
    <t>Test environment</t>
  </si>
  <si>
    <t>Definitions or Acronyms Used</t>
  </si>
  <si>
    <t>Instruments &amp; Tools</t>
  </si>
  <si>
    <t>Fail/Pass Criteria</t>
  </si>
  <si>
    <t>The test will be considered as pass if actual result meets the expected criteria in sheet "Test Script"</t>
  </si>
  <si>
    <t xml:space="preserve">Test Report Reference: </t>
  </si>
  <si>
    <t>Comments:</t>
  </si>
  <si>
    <t>Test Case No.</t>
  </si>
  <si>
    <t>Test Descriptions</t>
  </si>
  <si>
    <t>Expected Result</t>
  </si>
  <si>
    <t>Actual Response</t>
  </si>
  <si>
    <t>The following steps verify the software version.</t>
  </si>
  <si>
    <t>Power on the device. Configure the language, date and time, and user account.</t>
  </si>
  <si>
    <t>The device configuration shall be completed successfully.</t>
  </si>
  <si>
    <t>Did the device configuration complete successfully? _____
Record the configured username: _____
Record the configured password: _____</t>
  </si>
  <si>
    <t>Open Settings and navigate to the Information screen.</t>
  </si>
  <si>
    <t>The Information screen shall open successfully.</t>
  </si>
  <si>
    <t>Did the Information screen open successfully? _____</t>
  </si>
  <si>
    <t>Verify that the Information screen displays the following version information:
1. OS build version
2. Application version
3. Hardware version
4. FPGA version</t>
  </si>
  <si>
    <t>The device shall display all specified version information.</t>
  </si>
  <si>
    <t>Did the device display all specified version information? _____
Record the OS build version: _____
Record the application version: _____
Record the hardware version: _____
Record the FPGA version: _____</t>
  </si>
  <si>
    <t>Compare the displayed version information with the target Software Release Form.</t>
  </si>
  <si>
    <t>All displayed versions shall match the versions specified in the target Software Release Form.</t>
  </si>
  <si>
    <t>Did all displayed versions match the target release versions? _____
Record the Software Release Form reference: _____
Record any mismatch: _____</t>
  </si>
  <si>
    <t>1. Power on the device.
2. Connect an external monitor with a resolution of 1920 x 1080 pixels and a refresh rate of 60 Hz to the HDMI port.</t>
  </si>
  <si>
    <t>The external monitor shall display the same video feed as the device LCD screen.</t>
  </si>
  <si>
    <t>Did the external monitor display the same video feed as the device LCD screen? _____
Record the monitor resolution: _____
Record the monitor refresh rate: _____ Hz</t>
  </si>
  <si>
    <t>Connect both USB cameras to the device.</t>
  </si>
  <si>
    <t>The external monitor shall display the video feeds from both USB cameras.</t>
  </si>
  <si>
    <t>Connect the bronchoscope camera to the device.</t>
  </si>
  <si>
    <t>The external monitor shall display the bronchoscope video feed.</t>
  </si>
  <si>
    <t>Connect a USB flash drive to the device.</t>
  </si>
  <si>
    <t>The USB media detection icon shall appear on both the device screen and the external monitor.</t>
  </si>
  <si>
    <t>1. Start a screen recording and continue recording for 5 minutes.
2. Move the active camera feeds to different views to capture frame changes in the video feed.</t>
  </si>
  <si>
    <t>The device shall complete and save a 5-minute screen recording containing the camera-view changes.</t>
  </si>
  <si>
    <t>Open the device Gallery and play the recorded video.</t>
  </si>
  <si>
    <t>The recording shown on the external monitor shall match the recording shown on the device screen.</t>
  </si>
  <si>
    <t>1. Capture a screenshot of the device Home screen.
2. Open the device Gallery and view the captured screenshot.</t>
  </si>
  <si>
    <t>The screenshot shown on the external monitor shall match the screenshot shown on the device screen.</t>
  </si>
  <si>
    <t>Power-cycle the device and observe the screen transitions on the device screen and the external monitor.</t>
  </si>
  <si>
    <t>During the power cycle, the screen transitions on the external monitor shall match those on the device screen.</t>
  </si>
  <si>
    <t>1. Power off the device and disconnect the LCD display.
2. Power on the device and observe the external monitor.</t>
  </si>
  <si>
    <t>The external monitor shall display the device boot-up screens while the LCD display is disconnected.</t>
  </si>
  <si>
    <t>1. Power off the device and reconnect the LCD display.
2. Disconnect the device speaker.
3. Power on the device.</t>
  </si>
  <si>
    <t>The external monitor shall display the same video feed as the LCD display while the device speaker is disconnected.</t>
  </si>
  <si>
    <t>1. Open Settings and set the audio volume to the maximum level.
2. Connect and disconnect a camera.
Note: This step verifies that the device does not send audio notifications to the external monitor through HDMI.</t>
  </si>
  <si>
    <t>No audio notification shall be played through the external monitor.</t>
  </si>
  <si>
    <t>The battery-disconnection switch and power adaptor shall be available, and the switch shall be in the ON position.</t>
  </si>
  <si>
    <t>Were the battery-disconnection switch and power adaptor available, with the switch in the ON position? _____
Record the power adaptor identifier: _____</t>
  </si>
  <si>
    <t>1. Power on the device and allow the battery charge level to reach between 20% and 80%.
2. Connect the power adaptor.
Test state: Device ON; battery charging.</t>
  </si>
  <si>
    <t>The power button LED shall illuminate solid blue.</t>
  </si>
  <si>
    <t>Did the power button LED illuminate solid blue? _____
Record the battery charge level: _____ %
Record the observed LED colour and state: _____</t>
  </si>
  <si>
    <t>Disconnect the power adaptor.
Test state: Device ON; battery discharging.</t>
  </si>
  <si>
    <t>The power button LED shall illuminate solid green.</t>
  </si>
  <si>
    <t>Did the power button LED illuminate solid green? _____
Record the observed LED colour and state: _____</t>
  </si>
  <si>
    <t>Connect the power adaptor and place the device in sleep mode.
Test state: Device in sleep mode; battery charging.</t>
  </si>
  <si>
    <t>Did the power button LED illuminate solid blue? _____
Record the observed LED colour and state: _____</t>
  </si>
  <si>
    <t>Disconnect the power adaptor.
Test state: Device in sleep mode; battery discharging.</t>
  </si>
  <si>
    <t>The power button LED shall be off.</t>
  </si>
  <si>
    <t>Did the power button LED turn off? _____
Record the observed LED state: _____</t>
  </si>
  <si>
    <t>Press the power button to wake the device from sleep mode.
Test state: Device ON; battery discharging.</t>
  </si>
  <si>
    <t>Press the power button and shut down the device.
Test state: Device OFF; battery discharging.</t>
  </si>
  <si>
    <t>Connect the power adaptor.
Test state: Device OFF; battery charging.</t>
  </si>
  <si>
    <t>Press the power button to start the device from the shutdown state.
Test state: Device ON; battery charging.</t>
  </si>
  <si>
    <t>The power button LED shall flash blue at 1 Hz.</t>
  </si>
  <si>
    <t>Did the power button LED flash blue at 1 Hz? _____
Record the measured flash frequency: _____ Hz
Record the observed LED colour and state: _____</t>
  </si>
  <si>
    <t>1. Reconnect the battery to the device.
2. Press the power button to start the device from the shutdown state.
3. Allow the battery to charge until the device indicates a 100% charge level.
4. Record the power button LED state.</t>
  </si>
  <si>
    <t>At a 100% battery charge level, the power button LED shall illuminate solid green.</t>
  </si>
  <si>
    <t>Did the battery charge level reach 100%? _____
Did the power button LED illuminate solid green? _____
Record the observed LED colour and state: _____</t>
  </si>
  <si>
    <t>Press the power button to place the fully charged device in sleep mode.</t>
  </si>
  <si>
    <t>Press the power button to wake the fully charged device from sleep mode.</t>
  </si>
  <si>
    <t>Press the power button to shut down the fully charged device.</t>
  </si>
  <si>
    <t>Press the power button to start the fully charged device from the shutdown state.</t>
  </si>
  <si>
    <t>1. Power off the device and connect a USB-to-UART serial cable.
2. Configure the serial terminal with a baud rate of 1.5 Mbps.</t>
  </si>
  <si>
    <t>The USB-to-UART cable shall be connected, and the serial terminal shall be configured at 1.5 Mbps.</t>
  </si>
  <si>
    <t>Was the USB-to-UART cable connected and the serial terminal configured at 1.5 Mbps? _____
Record the serial port: _____
Record the terminal application: _____</t>
  </si>
  <si>
    <t>1. Power on the device.
2. Log in through the serial terminal using the username 'root' and leave the password blank.
3. Run the following command to set the kernel log level:
dmesg -n 2
Note: Repeat steps 2 and 3 after each power cycle when serial-terminal access is required.</t>
  </si>
  <si>
    <t>The serial login shall succeed, and the command shall complete without an error.</t>
  </si>
  <si>
    <t>Did the serial login succeed? _____
Did the command complete without an error? _____
Record any error message: _____</t>
  </si>
  <si>
    <t>1. Power off the device.
2. Disconnect the touchscreen input from the device.
3. Power on the device.</t>
  </si>
  <si>
    <t>The device shall display the following prompt:
'Touchscreen not detected. Service required by local representative'
The device shall record touchscreen-input error event ID 300 in the event log.</t>
  </si>
  <si>
    <t>Did the device display the specified touchscreen warning? _____
Did the event log contain event ID 300? _____
Record the displayed message: _____
Record the event-log entry: _____</t>
  </si>
  <si>
    <t>After configuring the serial terminal, run the following command and review the kernel messages:
dmesg</t>
  </si>
  <si>
    <t>1. Power off the device and reconnect the touchscreen input.
2. Power on the device.
3. Open Settings and select a control to confirm that touchscreen input is functional.</t>
  </si>
  <si>
    <t>The device shall accept touchscreen inputs and respond to the selected control.</t>
  </si>
  <si>
    <t>Did the device accept the touchscreen input and respond to the selected control? _____
Record any issue: _____</t>
  </si>
  <si>
    <t>1. Power off the device.
2. On BoardID_1, remove resistor R95 and fit resistor R92 to change the PCB ID for testing.
3. Power on the device.</t>
  </si>
  <si>
    <t>The device shall detect the PCB ID mismatch and display the following error message:
'Software incompatible with hardware.
Service required by local representative.'
The device shall record error event ID 211 in the event log.</t>
  </si>
  <si>
    <t>The specified software upgrade package shall be available for installation.</t>
  </si>
  <si>
    <t>Was the specified software upgrade package available? _____
Record the package name and version: _____</t>
  </si>
  <si>
    <t>The device shall enter emergency mode, and the power button LED shall flash yellow at 1 Hz.</t>
  </si>
  <si>
    <t>Did the device enter emergency mode? _____
Did the power button LED flash yellow at 1 Hz? _____
Record the measured flash frequency: _____ Hz
Record the observed LED colour and state: _____</t>
  </si>
  <si>
    <t>Connect an external monitor to the device through the HDMI port.</t>
  </si>
  <si>
    <t>The external monitor shall continue to display the bronchoscope and USB camera feeds and shall not display the emergency-mode screen shown on the device display.</t>
  </si>
  <si>
    <t>Disconnect the bronchoscope from the device.</t>
  </si>
  <si>
    <t>The device shall exit emergency mode, and the yellow 1 Hz flashing of the power button LED shall stop.</t>
  </si>
  <si>
    <t>Did the external monitor display the video feeds from both USB cameras? _____</t>
  </si>
  <si>
    <t>Did the external monitor display the bronchoscope video feed? _____</t>
  </si>
  <si>
    <t>Did the USB media detection icon appear on both the device screen and the external monitor? _____</t>
  </si>
  <si>
    <t>Did the device complete and save the 5-minute screen recording? _____
Did the recording contain the camera-view changes? _____</t>
  </si>
  <si>
    <t>Did the recording on the external monitor match the recording on the device screen? _____</t>
  </si>
  <si>
    <t>Did the screenshot on the external monitor match the screenshot on the device screen? _____</t>
  </si>
  <si>
    <t>Did all power-cycle screen transitions on the external monitor match those on the device screen? _____</t>
  </si>
  <si>
    <t>Did the external monitor display the device boot-up screens while the LCD display was disconnected? _____</t>
  </si>
  <si>
    <t>Did the external monitor display the same video feed as the LCD display while the speaker was disconnected? _____</t>
  </si>
  <si>
    <t>Did the external monitor remain silent when the camera was connected and disconnected? _____</t>
  </si>
  <si>
    <t>Ensure that the following test conditions are met:
1. Connect the battery through a switch that permits disconnection while the device is operating. Keep the switch in the ON position.
2. Ensure that a power adaptor is available for charging the battery.
3. Connect a Oscilloscope with power button blue LED to measure its frequency when it flashes</t>
  </si>
  <si>
    <t>Use the switch to disconnect the battery and measure the blue LED flash frequency
Test state: Device ON; battery disconnected.</t>
  </si>
  <si>
    <t>Press the power button to place the device in sleep mode  and measure the blue LED flash frequency
Test state: Device in sleep mode; battery disconnected.</t>
  </si>
  <si>
    <t>Press the power button to wake the device from sleep mode  and measure the blue LED flash frequency
Test state: Device ON; battery disconnected.</t>
  </si>
  <si>
    <t>Press the power button to shut down the device  and measure the blue LED flash frequency
Test state: Device OFF; battery disconnected.</t>
  </si>
  <si>
    <t>Did the device display the specified PCB ID mismatch error? _____
Did the event log contain event ID 211? _____
Record the displayed message: _____
Record the event-log entry: _____</t>
  </si>
  <si>
    <t>Did the external monitor display the bronchoscope and USB camera feeds? _____
Did the external monitor remain free of the emergency-mode screen? _____
Record any discrepancy: _____</t>
  </si>
  <si>
    <r>
      <t>Obtain the software upgrade package supplied with this test request from the folder named '</t>
    </r>
    <r>
      <rPr>
        <b/>
        <sz val="11"/>
        <color theme="1"/>
        <rFont val="Calibri"/>
        <family val="2"/>
        <scheme val="minor"/>
      </rPr>
      <t>upgradebundle-NoFPGAWDTAfter10seconds</t>
    </r>
    <r>
      <rPr>
        <sz val="11"/>
        <color theme="1"/>
        <rFont val="Calibri"/>
        <family val="2"/>
        <scheme val="minor"/>
      </rPr>
      <t>'.
Note: This test software stops feeding the FPGA watchdog 10 seconds after the bronchoscope is connected.</t>
    </r>
  </si>
  <si>
    <t>upgradebundle-NoFPGAWDTAfter10seconds</t>
  </si>
  <si>
    <t>Did the device exit emergency mode? _____
Did the yellow flashing of the power button LED stop? _____</t>
  </si>
  <si>
    <t xml:space="preserve"> GTD-001229/A</t>
  </si>
  <si>
    <t>SRS-000053</t>
  </si>
  <si>
    <t>ProVu Vista Display –SOFTWARE REQUIREMENT SPECIFICATION</t>
  </si>
  <si>
    <t xml:space="preserve"> PROVU2 LARGE DISPLAY Software Test Plan</t>
  </si>
  <si>
    <t>GTD-000993</t>
  </si>
  <si>
    <t>This is a test bundle, this bundle software stops the FPGA watchdog feed after 10 seconds of bronchoscope connection</t>
  </si>
  <si>
    <t>The objective of this test method is to verify the following
- the external interfaces like HDMI, Power button LED, Analog PCB IDs
- Touch sensor failure detection</t>
  </si>
  <si>
    <t>Save all captured screenshots and log files using the applicable test-step number for easy identification</t>
  </si>
  <si>
    <t>n/a</t>
  </si>
  <si>
    <t>TBD</t>
  </si>
  <si>
    <t>The test executor shall be able to upgrade the device software</t>
  </si>
  <si>
    <t>Test ID: STS-ProVuVista-Integration-07-000020
Software item under test: SRS-EXT-ITF-1190
This section verifies the power button LED states with state of battery charging, discharging and power adapter</t>
  </si>
  <si>
    <t>Test ID: STS-ProVuVista-Integration-07-000040
Software item under test: SRS-EXT-ITF-1430
This section verifies that software detect analogue PCB ID and raise error when a mismatch occurs.</t>
  </si>
  <si>
    <t>Test ID: STS-ProVuVista-Integration-07-000050
Software item under test: SRS-EXT-ITF-2070
This section verifies that the power button LED flashes yellow at 1 Hz when the FPGA enters emergency mode.</t>
  </si>
  <si>
    <t>Test ID: STS-ProVuVista-Integration-07-000030
Software item under test: SRS-EXT-ITF-1770, , SRS-EXT-ITF-1120
This section verifies that software can detect the touchscreen inputs from user and a  touch sensor connection error.</t>
  </si>
  <si>
    <t>Test ID: STS-ProVuVista-Integration-07-000010
Software item under test: SRS-EXT-ITF-1170, SRS-EXT-ITF-1160
This section verifies the HDMI monitor and LCD have same output.</t>
  </si>
  <si>
    <t xml:space="preserve">Press the power button for 1-2 seconds to enter into sleep mode. </t>
  </si>
  <si>
    <t>Did the HDMI display black and blank during sleep mode? _______</t>
  </si>
  <si>
    <t>The HDMI display shall be blank and black during sleep mode.</t>
  </si>
  <si>
    <t>Press power button to wake up from sleep mode</t>
  </si>
  <si>
    <t>The HDMI display shall show same output as LCD display.</t>
  </si>
  <si>
    <t>Did HDMI display show same output as LCD? _______</t>
  </si>
  <si>
    <t>1. Press the power button for 1-2 seconds to enter into sleep mode. 
2. Press power button to wake up from sleep mode</t>
  </si>
  <si>
    <t>The HDMI display shall show the camera feed when exit from sleep.</t>
  </si>
  <si>
    <t>Did the HDMI display show camera feed when exit from sleep mode? _______</t>
  </si>
  <si>
    <t>1. Minicom or PuTTY terminal software
2. High-speed USB-to-UART cable capable of supporting a baud rate of 1.5 Mbps
3. USB drive
4. A PC running a Linux operating system is recommended.
5. Oscilloscope
6. External Monitor with HDMI connectivity</t>
  </si>
  <si>
    <t>Location</t>
  </si>
  <si>
    <t>Description</t>
  </si>
  <si>
    <t>https://dev.azure.com/FlexicareDevOps/ProVu%2015/_git/provu2_test_suite?version=Gbmain</t>
  </si>
  <si>
    <t>Repository Name: GTD-001229
Folder Name: provu2_test_suite / GTD-001229</t>
  </si>
  <si>
    <t>1. Connect a Oscilloscope with yellow LED to measure its flash frequency
2. Power on the device.
3. Connect the bronchoscope and one USB camera.
4. Wait at least 10 seconds for the device to stop feeding the FPGA watchdog.
5. When the device enters emergency mode, observe the power button LED.</t>
  </si>
  <si>
    <t>Did the kernel log report touchscreen retry attempts? _____
Record the relevant kernel-log output: _____</t>
  </si>
  <si>
    <t>The touch screen driver shall reties to detect the touch IC. The below message from driver shall appear in log for at least three times
 [FTS_TS/E]fts_get_ic_information:TOUCH CHECK: Touch IC communication failed</t>
  </si>
  <si>
    <t>Following requirements are covered through this test method
SRS-EXT-ITF-1120, SRS-EXT-ITF-1160, SRS-EXT-ITF-1170, SRS-EXT-ITF-1190, SRS-EXT-ITF-2070, SRS-EXT-ITF-1430, 
SRS-EXT-ITF-1770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</si>
</sst>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26" x14ac:knownFonts="1">
    <font>
      <sz val="11"/>
      <color theme="1"/>
      <name val="Calibri"/>
      <family val="2"/>
      <scheme val="minor"/>
    </font>
    <font>
      <b/>
      <sz val="12"/>
      <color theme="1"/>
      <name val="Arial"/>
      <family val="2"/>
    </font>
    <font>
      <sz val="12"/>
      <color theme="1"/>
      <name val="Arial"/>
      <family val="2"/>
    </font>
    <font>
      <sz val="12"/>
      <name val="Arial"/>
      <family val="2"/>
    </font>
    <font>
      <i/>
      <sz val="12"/>
      <color theme="1"/>
      <name val="Arial"/>
      <family val="2"/>
    </font>
    <font>
      <sz val="22"/>
      <color theme="1"/>
      <name val="Arial"/>
      <family val="2"/>
    </font>
    <font>
      <sz val="22"/>
      <name val="Arial"/>
      <family val="2"/>
    </font>
    <font>
      <b/>
      <sz val="22"/>
      <name val="Arial"/>
      <family val="2"/>
    </font>
    <font>
      <b/>
      <sz val="22"/>
      <color theme="1"/>
      <name val="Arial"/>
      <family val="2"/>
    </font>
    <font>
      <sz val="22"/>
      <color theme="1"/>
      <name val="Calibri"/>
      <family val="2"/>
      <scheme val="minor"/>
    </font>
    <font>
      <b/>
      <sz val="22"/>
      <color rgb="FF000000"/>
      <name val="Calibri"/>
      <family val="2"/>
      <scheme val="minor"/>
    </font>
    <font>
      <b/>
      <sz val="22"/>
      <color theme="1"/>
      <name val="Calibri"/>
      <family val="2"/>
      <scheme val="minor"/>
    </font>
    <font>
      <i/>
      <sz val="22"/>
      <color theme="1"/>
      <name val="Calibri"/>
      <family val="2"/>
      <scheme val="minor"/>
    </font>
    <font>
      <sz val="11"/>
      <color rgb="FF000000"/>
      <name val="Calibri"/>
      <family val="2"/>
      <scheme val="minor"/>
    </font>
    <font>
      <b/>
      <sz val="11"/>
      <color theme="1"/>
      <name val="Calibri"/>
      <family val="2"/>
      <scheme val="minor"/>
    </font>
    <font>
      <sz val="11"/>
      <name val="Calibri"/>
      <family val="2"/>
      <scheme val="minor"/>
    </font>
    <font>
      <sz val="11"/>
      <color rgb="FFFF0000"/>
      <name val="Calibri"/>
      <family val="2"/>
      <scheme val="minor"/>
    </font>
    <font>
      <i/>
      <sz val="12"/>
      <color rgb="FFFF0000"/>
      <name val="Arial"/>
      <family val="2"/>
    </font>
    <font>
      <b/>
      <sz val="12"/>
      <color theme="1"/>
      <name val="Calibri"/>
      <family val="2"/>
      <scheme val="minor"/>
    </font>
    <font>
      <sz val="12"/>
      <color theme="1"/>
      <name val="Calibri"/>
      <family val="2"/>
      <scheme val="minor"/>
    </font>
    <font>
      <sz val="11"/>
      <color theme="1"/>
      <name val="Calibri"/>
      <family val="2"/>
      <charset val="1"/>
    </font>
    <font>
      <sz val="22"/>
      <color theme="1"/>
      <name val="Calibri"/>
      <family val="2"/>
      <charset val="1"/>
    </font>
    <font>
      <b/>
      <sz val="22"/>
      <color theme="1"/>
      <name val="Calibri"/>
      <family val="2"/>
    </font>
    <font>
      <b/>
      <i/>
      <sz val="22"/>
      <color theme="1"/>
      <name val="Calibri"/>
      <family val="2"/>
      <scheme val="minor"/>
    </font>
    <font>
      <u/>
      <sz val="11"/>
      <color theme="10"/>
      <name val="Calibri"/>
      <family val="2"/>
      <charset val="1"/>
    </font>
    <font>
      <u/>
      <sz val="22"/>
      <color theme="10"/>
      <name val="Calibri"/>
      <family val="2"/>
      <charset val="1"/>
    </font>
  </fonts>
  <fills count="8">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D9D9D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0" fillId="0" borderId="0"/>
    <xf numFmtId="0" fontId="24" fillId="0" borderId="0" applyNumberFormat="0" applyFill="0" applyBorder="0" applyAlignment="0" applyProtection="0"/>
  </cellStyleXfs>
  <cellXfs count="88">
    <xf numFmtId="0" fontId="0" fillId="0" borderId="0" xfId="0"/>
    <xf numFmtId="0" fontId="2" fillId="0" borderId="0" xfId="0" applyFont="1" applyAlignment="1">
      <alignment wrapText="1"/>
    </xf>
    <xf numFmtId="0" fontId="1" fillId="0" borderId="1" xfId="0" applyFont="1" applyBorder="1" applyAlignment="1">
      <alignment vertical="center"/>
    </xf>
    <xf numFmtId="0" fontId="0" fillId="0" borderId="0" xfId="0" applyAlignment="1">
      <alignment horizontal="left" vertical="center"/>
    </xf>
    <xf numFmtId="0" fontId="1" fillId="2" borderId="1" xfId="0" applyFont="1" applyFill="1" applyBorder="1" applyAlignment="1">
      <alignment horizontal="left" vertical="center"/>
    </xf>
    <xf numFmtId="0" fontId="3" fillId="0" borderId="0" xfId="0" applyFont="1" applyAlignment="1">
      <alignment wrapText="1"/>
    </xf>
    <xf numFmtId="0" fontId="5" fillId="0" borderId="0" xfId="0" applyFont="1"/>
    <xf numFmtId="0" fontId="6" fillId="0" borderId="0" xfId="0" applyFont="1" applyAlignment="1">
      <alignment horizontal="right"/>
    </xf>
    <xf numFmtId="0" fontId="5" fillId="0" borderId="0" xfId="0" applyFont="1" applyAlignment="1">
      <alignment horizontal="center"/>
    </xf>
    <xf numFmtId="0" fontId="9" fillId="0" borderId="0" xfId="0" applyFont="1"/>
    <xf numFmtId="0" fontId="5" fillId="0" borderId="0" xfId="0" applyFont="1" applyAlignment="1">
      <alignment horizontal="center" vertical="center"/>
    </xf>
    <xf numFmtId="0" fontId="10" fillId="7" borderId="1" xfId="0" applyFont="1" applyFill="1" applyBorder="1" applyAlignment="1">
      <alignment horizontal="center" vertical="center" wrapText="1"/>
    </xf>
    <xf numFmtId="0" fontId="0" fillId="0" borderId="0" xfId="0" applyAlignment="1">
      <alignment vertical="center"/>
    </xf>
    <xf numFmtId="0" fontId="9" fillId="0" borderId="1" xfId="0" applyFont="1" applyBorder="1" applyAlignment="1">
      <alignment horizontal="center" vertical="center" wrapText="1"/>
    </xf>
    <xf numFmtId="0" fontId="9" fillId="0" borderId="0" xfId="0" applyFont="1" applyAlignment="1">
      <alignment horizontal="center" vertical="center" wrapText="1"/>
    </xf>
    <xf numFmtId="0" fontId="0" fillId="0" borderId="0" xfId="0" applyAlignment="1">
      <alignment horizontal="center"/>
    </xf>
    <xf numFmtId="0" fontId="2" fillId="0" borderId="0" xfId="0" applyFont="1"/>
    <xf numFmtId="0" fontId="8" fillId="0" borderId="0" xfId="0" applyFont="1"/>
    <xf numFmtId="164" fontId="9" fillId="0" borderId="1" xfId="0" applyNumberFormat="1" applyFont="1" applyBorder="1" applyAlignment="1">
      <alignment horizontal="center" vertical="center" wrapText="1"/>
    </xf>
    <xf numFmtId="164" fontId="4" fillId="0" borderId="1" xfId="0" applyNumberFormat="1" applyFont="1" applyBorder="1" applyAlignment="1">
      <alignment horizontal="right" vertical="center"/>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10" xfId="0" applyFont="1" applyBorder="1" applyAlignment="1">
      <alignment horizontal="center" vertical="center" wrapText="1"/>
    </xf>
    <xf numFmtId="0" fontId="13" fillId="0" borderId="10" xfId="0" applyFon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15" fillId="0" borderId="1" xfId="0" applyFont="1" applyBorder="1" applyAlignment="1">
      <alignment horizontal="left" vertical="center" wrapText="1"/>
    </xf>
    <xf numFmtId="0" fontId="0" fillId="0" borderId="2" xfId="0" applyBorder="1" applyAlignment="1">
      <alignment horizontal="center" vertical="center" wrapText="1"/>
    </xf>
    <xf numFmtId="0" fontId="9" fillId="0" borderId="0" xfId="0" applyFont="1" applyAlignment="1">
      <alignment vertical="center" wrapText="1"/>
    </xf>
    <xf numFmtId="0" fontId="18" fillId="3" borderId="1" xfId="0" applyFont="1" applyFill="1" applyBorder="1" applyAlignment="1">
      <alignment horizontal="left" vertical="top" wrapText="1"/>
    </xf>
    <xf numFmtId="0" fontId="0" fillId="0" borderId="1" xfId="0" applyFill="1" applyBorder="1" applyAlignment="1">
      <alignment horizontal="left" vertical="center" wrapText="1"/>
    </xf>
    <xf numFmtId="0" fontId="15" fillId="0" borderId="1" xfId="0" applyFont="1" applyFill="1" applyBorder="1" applyAlignment="1">
      <alignment horizontal="left" vertical="center" wrapText="1"/>
    </xf>
    <xf numFmtId="0" fontId="7" fillId="0" borderId="0" xfId="0" applyFont="1" applyAlignment="1">
      <alignment horizontal="center" vertical="center"/>
    </xf>
    <xf numFmtId="0" fontId="0" fillId="0" borderId="0" xfId="0"/>
    <xf numFmtId="0" fontId="0" fillId="0" borderId="0" xfId="0" applyAlignment="1">
      <alignment horizontal="center"/>
    </xf>
    <xf numFmtId="0" fontId="8" fillId="0" borderId="1" xfId="0" applyFont="1" applyBorder="1" applyAlignment="1">
      <alignment horizontal="center" vertical="center"/>
    </xf>
    <xf numFmtId="0" fontId="0" fillId="0" borderId="9" xfId="0" applyBorder="1"/>
    <xf numFmtId="0" fontId="0" fillId="0" borderId="3" xfId="0" applyBorder="1"/>
    <xf numFmtId="0" fontId="9" fillId="0" borderId="1" xfId="0" applyFont="1" applyBorder="1" applyAlignment="1">
      <alignment horizontal="center" vertical="center" wrapText="1"/>
    </xf>
    <xf numFmtId="0" fontId="8" fillId="0" borderId="1" xfId="0" applyFont="1" applyBorder="1" applyAlignment="1">
      <alignment horizontal="center"/>
    </xf>
    <xf numFmtId="0" fontId="8" fillId="5" borderId="1" xfId="0" applyFont="1" applyFill="1" applyBorder="1" applyAlignment="1">
      <alignment horizontal="right" vertical="center"/>
    </xf>
    <xf numFmtId="0" fontId="8" fillId="0" borderId="0" xfId="0" applyFont="1" applyAlignment="1">
      <alignment horizontal="left" vertical="top"/>
    </xf>
    <xf numFmtId="0" fontId="10" fillId="7"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0" fillId="0" borderId="1" xfId="0" applyBorder="1"/>
    <xf numFmtId="0" fontId="11" fillId="0" borderId="1" xfId="0" applyFont="1" applyBorder="1" applyAlignment="1">
      <alignment horizontal="center"/>
    </xf>
    <xf numFmtId="0" fontId="22" fillId="5" borderId="1" xfId="1" applyFont="1" applyFill="1" applyBorder="1" applyAlignment="1">
      <alignment horizontal="center"/>
    </xf>
    <xf numFmtId="0" fontId="23" fillId="5" borderId="1" xfId="1" applyFont="1" applyFill="1" applyBorder="1" applyAlignment="1">
      <alignment horizontal="center" vertical="center" wrapText="1"/>
    </xf>
    <xf numFmtId="0" fontId="25" fillId="0" borderId="1" xfId="2" applyFont="1" applyBorder="1" applyAlignment="1">
      <alignment horizontal="left" vertical="center"/>
    </xf>
    <xf numFmtId="0" fontId="21" fillId="0" borderId="1" xfId="1" applyFont="1" applyBorder="1" applyAlignment="1">
      <alignment horizontal="left" vertical="center" wrapText="1"/>
    </xf>
    <xf numFmtId="0" fontId="12" fillId="0" borderId="1" xfId="0" applyFont="1" applyBorder="1" applyAlignment="1">
      <alignment horizontal="left" vertical="center" wrapText="1"/>
    </xf>
    <xf numFmtId="0" fontId="0" fillId="0" borderId="9" xfId="0" applyBorder="1" applyAlignment="1">
      <alignment horizontal="left"/>
    </xf>
    <xf numFmtId="0" fontId="0" fillId="0" borderId="3" xfId="0" applyBorder="1" applyAlignment="1">
      <alignment horizontal="left"/>
    </xf>
    <xf numFmtId="0" fontId="11" fillId="0" borderId="1" xfId="0" applyFont="1" applyFill="1" applyBorder="1" applyAlignment="1">
      <alignment horizontal="center" vertical="center" wrapText="1"/>
    </xf>
    <xf numFmtId="0" fontId="0" fillId="0" borderId="9" xfId="0" applyFill="1" applyBorder="1"/>
    <xf numFmtId="0" fontId="0" fillId="0" borderId="3" xfId="0" applyFill="1" applyBorder="1"/>
    <xf numFmtId="0" fontId="1" fillId="4" borderId="1" xfId="0" applyFont="1" applyFill="1" applyBorder="1" applyAlignment="1">
      <alignment horizontal="center" vertical="center"/>
    </xf>
    <xf numFmtId="0" fontId="1" fillId="6" borderId="1" xfId="0" applyFont="1" applyFill="1" applyBorder="1" applyAlignment="1">
      <alignment horizontal="left"/>
    </xf>
    <xf numFmtId="0" fontId="1" fillId="4" borderId="1" xfId="0" applyFont="1" applyFill="1" applyBorder="1" applyAlignment="1">
      <alignment horizontal="left" vertical="center"/>
    </xf>
    <xf numFmtId="0" fontId="2" fillId="0" borderId="1" xfId="0" applyFont="1" applyBorder="1" applyAlignment="1">
      <alignment horizontal="left" vertical="center" wrapText="1"/>
    </xf>
    <xf numFmtId="0" fontId="1" fillId="2" borderId="1" xfId="0" applyFont="1" applyFill="1" applyBorder="1" applyAlignment="1">
      <alignment horizontal="left" vertical="center"/>
    </xf>
    <xf numFmtId="0" fontId="0" fillId="0" borderId="4" xfId="0" applyBorder="1"/>
    <xf numFmtId="0" fontId="0" fillId="0" borderId="7" xfId="0" applyBorder="1"/>
    <xf numFmtId="0" fontId="0" fillId="0" borderId="8" xfId="0" applyBorder="1"/>
    <xf numFmtId="0" fontId="0" fillId="0" borderId="5" xfId="0" applyBorder="1"/>
    <xf numFmtId="0" fontId="0" fillId="0" borderId="6" xfId="0" applyBorder="1"/>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0" fillId="0" borderId="1" xfId="0" applyBorder="1" applyAlignment="1">
      <alignment horizontal="left" vertical="center"/>
    </xf>
    <xf numFmtId="0" fontId="1" fillId="4" borderId="1" xfId="0" applyFont="1" applyFill="1" applyBorder="1" applyAlignment="1">
      <alignment horizontal="left"/>
    </xf>
    <xf numFmtId="0" fontId="17" fillId="0" borderId="1" xfId="0" applyFont="1" applyBorder="1" applyAlignment="1">
      <alignment horizontal="left" vertical="center" wrapText="1"/>
    </xf>
    <xf numFmtId="0" fontId="16" fillId="0" borderId="9" xfId="0" applyFont="1" applyBorder="1" applyAlignment="1">
      <alignment horizontal="left"/>
    </xf>
    <xf numFmtId="0" fontId="16" fillId="0" borderId="3" xfId="0" applyFont="1" applyBorder="1" applyAlignment="1">
      <alignment horizontal="left"/>
    </xf>
    <xf numFmtId="0" fontId="14" fillId="3" borderId="1" xfId="0" applyFont="1" applyFill="1" applyBorder="1" applyAlignment="1">
      <alignment horizontal="left" vertical="center" wrapText="1"/>
    </xf>
    <xf numFmtId="0" fontId="0" fillId="0" borderId="9" xfId="0" applyBorder="1" applyAlignment="1">
      <alignment horizontal="left" vertical="center" wrapText="1"/>
    </xf>
    <xf numFmtId="0" fontId="0" fillId="0" borderId="3" xfId="0" applyBorder="1" applyAlignment="1">
      <alignment horizontal="left" vertical="center" wrapText="1"/>
    </xf>
    <xf numFmtId="0" fontId="14" fillId="3" borderId="1" xfId="0" applyFont="1" applyFill="1" applyBorder="1" applyAlignment="1">
      <alignment horizontal="left" vertical="top" wrapText="1"/>
    </xf>
    <xf numFmtId="0" fontId="0" fillId="0" borderId="9" xfId="0" applyBorder="1" applyAlignment="1">
      <alignment horizontal="left" vertical="top" wrapText="1"/>
    </xf>
    <xf numFmtId="0" fontId="0" fillId="0" borderId="3" xfId="0" applyBorder="1" applyAlignment="1">
      <alignment horizontal="left" vertical="top" wrapText="1"/>
    </xf>
    <xf numFmtId="0" fontId="18" fillId="4" borderId="1" xfId="0" applyFont="1" applyFill="1" applyBorder="1" applyAlignment="1">
      <alignment horizontal="center" vertical="top" wrapText="1"/>
    </xf>
    <xf numFmtId="0" fontId="19" fillId="0" borderId="9" xfId="0" applyFont="1" applyBorder="1" applyAlignment="1">
      <alignment horizontal="left" vertical="top" wrapText="1"/>
    </xf>
    <xf numFmtId="0" fontId="19" fillId="0" borderId="3" xfId="0" applyFont="1" applyBorder="1" applyAlignment="1">
      <alignment horizontal="left" vertical="top" wrapText="1"/>
    </xf>
    <xf numFmtId="0" fontId="18" fillId="6" borderId="1" xfId="0" applyFont="1" applyFill="1" applyBorder="1" applyAlignment="1">
      <alignment horizontal="left" vertical="top" wrapText="1"/>
    </xf>
    <xf numFmtId="0" fontId="19" fillId="6" borderId="9" xfId="0" applyFont="1" applyFill="1" applyBorder="1" applyAlignment="1">
      <alignment horizontal="left" vertical="top" wrapText="1"/>
    </xf>
    <xf numFmtId="0" fontId="19" fillId="6" borderId="3" xfId="0" applyFont="1" applyFill="1" applyBorder="1" applyAlignment="1">
      <alignment horizontal="left" vertical="top" wrapText="1"/>
    </xf>
    <xf numFmtId="0" fontId="18" fillId="3" borderId="1" xfId="0" applyFont="1" applyFill="1" applyBorder="1" applyAlignment="1">
      <alignment horizontal="left" vertical="center" wrapText="1"/>
    </xf>
    <xf numFmtId="0" fontId="19" fillId="0" borderId="9" xfId="0" applyFont="1" applyBorder="1" applyAlignment="1">
      <alignment horizontal="left" vertical="center" wrapText="1"/>
    </xf>
    <xf numFmtId="0" fontId="19" fillId="0" borderId="3" xfId="0" applyFont="1" applyBorder="1" applyAlignment="1">
      <alignment horizontal="left" vertical="center" wrapText="1"/>
    </xf>
  </cellXfs>
  <cellStyles count="3">
    <cellStyle name="Hyperlink 2" xfId="2" xr:uid="{783E68EC-C3C9-4B0F-8ED2-9D4D90C178B1}"/>
    <cellStyle name="Normal" xfId="0" builtinId="0"/>
    <cellStyle name="Normal 2" xfId="1" xr:uid="{0738E7C7-C004-420B-A907-5FA57C24BB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84667</xdr:colOff>
      <xdr:row>2</xdr:row>
      <xdr:rowOff>137583</xdr:rowOff>
    </xdr:from>
    <xdr:to>
      <xdr:col>8</xdr:col>
      <xdr:colOff>1040765</xdr:colOff>
      <xdr:row>3</xdr:row>
      <xdr:rowOff>259292</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6953250" y="571500"/>
          <a:ext cx="1920875" cy="46355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dev.azure.com/FlexicareDevOps/ProVu%2015/_git/provu2_test_suite?version=Gbmain"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3"/>
  <sheetViews>
    <sheetView tabSelected="1" view="pageBreakPreview" zoomScale="40" zoomScaleNormal="70" zoomScaleSheetLayoutView="40" zoomScalePageLayoutView="60" workbookViewId="0">
      <selection activeCell="F17" sqref="F17"/>
    </sheetView>
  </sheetViews>
  <sheetFormatPr defaultRowHeight="14.4" x14ac:dyDescent="0.3"/>
  <cols>
    <col min="1" max="1" width="32.33203125" customWidth="1"/>
    <col min="2" max="2" width="13.77734375" customWidth="1"/>
    <col min="3" max="3" width="38.44140625" customWidth="1"/>
    <col min="4" max="4" width="36.109375" customWidth="1"/>
    <col min="5" max="5" width="34.5546875" customWidth="1"/>
    <col min="6" max="6" width="101.44140625" style="15" customWidth="1"/>
  </cols>
  <sheetData>
    <row r="1" spans="1:6" ht="27.6" customHeight="1" x14ac:dyDescent="0.45">
      <c r="A1" s="6"/>
      <c r="B1" s="6"/>
      <c r="C1" s="6"/>
      <c r="D1" s="6"/>
      <c r="E1" s="6"/>
      <c r="F1" s="7"/>
    </row>
    <row r="2" spans="1:6" ht="15.75" customHeight="1" x14ac:dyDescent="0.45">
      <c r="A2" s="6"/>
      <c r="B2" s="6"/>
      <c r="C2" s="6"/>
      <c r="D2" s="6"/>
      <c r="E2" s="6"/>
      <c r="F2" s="7"/>
    </row>
    <row r="3" spans="1:6" ht="15.75" customHeight="1" x14ac:dyDescent="0.45">
      <c r="A3" s="6"/>
      <c r="B3" s="6"/>
      <c r="C3" s="6"/>
      <c r="D3" s="6"/>
      <c r="E3" s="6"/>
      <c r="F3" s="7"/>
    </row>
    <row r="4" spans="1:6" ht="27.6" customHeight="1" x14ac:dyDescent="0.45">
      <c r="A4" s="6"/>
      <c r="B4" s="6"/>
      <c r="C4" s="6"/>
      <c r="D4" s="6"/>
      <c r="E4" s="6"/>
      <c r="F4" s="7"/>
    </row>
    <row r="5" spans="1:6" ht="28.2" customHeight="1" x14ac:dyDescent="0.5">
      <c r="A5" s="6"/>
      <c r="B5" s="6"/>
      <c r="C5" s="6"/>
      <c r="D5" s="17" t="s">
        <v>0</v>
      </c>
      <c r="E5" s="6"/>
      <c r="F5" s="8"/>
    </row>
    <row r="6" spans="1:6" ht="30" customHeight="1" x14ac:dyDescent="0.3">
      <c r="A6" s="32" t="s">
        <v>1</v>
      </c>
      <c r="B6" s="33"/>
      <c r="C6" s="33"/>
      <c r="D6" s="33"/>
      <c r="E6" s="33"/>
      <c r="F6" s="34"/>
    </row>
    <row r="7" spans="1:6" x14ac:dyDescent="0.3">
      <c r="A7" s="33"/>
      <c r="B7" s="33"/>
      <c r="C7" s="33"/>
      <c r="D7" s="33"/>
      <c r="E7" s="33"/>
      <c r="F7" s="34"/>
    </row>
    <row r="8" spans="1:6" ht="30" customHeight="1" x14ac:dyDescent="0.45">
      <c r="A8" s="6"/>
      <c r="B8" s="6"/>
      <c r="C8" s="6"/>
      <c r="D8" s="6"/>
      <c r="E8" s="6"/>
      <c r="F8" s="8"/>
    </row>
    <row r="9" spans="1:6" ht="30" customHeight="1" x14ac:dyDescent="0.5">
      <c r="A9" s="40" t="s">
        <v>2</v>
      </c>
      <c r="B9" s="36"/>
      <c r="C9" s="37"/>
      <c r="D9" s="39" t="s">
        <v>0</v>
      </c>
      <c r="E9" s="36"/>
      <c r="F9" s="37"/>
    </row>
    <row r="10" spans="1:6" ht="30" customHeight="1" x14ac:dyDescent="0.3">
      <c r="A10" s="40" t="s">
        <v>3</v>
      </c>
      <c r="B10" s="36"/>
      <c r="C10" s="37"/>
      <c r="D10" s="35" t="s">
        <v>142</v>
      </c>
      <c r="E10" s="36"/>
      <c r="F10" s="37"/>
    </row>
    <row r="11" spans="1:6" ht="30" customHeight="1" x14ac:dyDescent="0.45">
      <c r="A11" s="6"/>
      <c r="B11" s="6"/>
      <c r="C11" s="6"/>
      <c r="D11" s="6"/>
      <c r="E11" s="6"/>
      <c r="F11" s="8"/>
    </row>
    <row r="12" spans="1:6" ht="30" customHeight="1" x14ac:dyDescent="0.55000000000000004">
      <c r="A12" s="9"/>
      <c r="B12" s="9"/>
      <c r="C12" s="9"/>
      <c r="D12" s="9"/>
      <c r="E12" s="9"/>
      <c r="F12" s="9"/>
    </row>
    <row r="13" spans="1:6" ht="30" customHeight="1" x14ac:dyDescent="0.45">
      <c r="A13" s="6"/>
      <c r="B13" s="10"/>
      <c r="C13" s="10"/>
      <c r="D13" s="10"/>
      <c r="E13" s="8"/>
      <c r="F13" s="8"/>
    </row>
    <row r="14" spans="1:6" ht="30" customHeight="1" x14ac:dyDescent="0.3">
      <c r="A14" s="41" t="s">
        <v>4</v>
      </c>
      <c r="B14" s="33"/>
      <c r="C14" s="33"/>
      <c r="D14" s="33"/>
      <c r="E14" s="33"/>
      <c r="F14" s="34"/>
    </row>
    <row r="15" spans="1:6" s="12" customFormat="1" ht="20.100000000000001" customHeight="1" x14ac:dyDescent="0.3">
      <c r="A15" s="42" t="s">
        <v>5</v>
      </c>
      <c r="B15" s="37"/>
      <c r="C15" s="42" t="s">
        <v>6</v>
      </c>
      <c r="D15" s="37"/>
      <c r="E15" s="11" t="s">
        <v>7</v>
      </c>
      <c r="F15" s="11" t="s">
        <v>8</v>
      </c>
    </row>
    <row r="16" spans="1:6" ht="32.700000000000003" customHeight="1" x14ac:dyDescent="0.3">
      <c r="A16" s="38" t="s">
        <v>9</v>
      </c>
      <c r="B16" s="37"/>
      <c r="C16" s="38" t="s">
        <v>10</v>
      </c>
      <c r="D16" s="37"/>
      <c r="E16" s="13" t="s">
        <v>11</v>
      </c>
      <c r="F16" s="18">
        <v>46287</v>
      </c>
    </row>
    <row r="17" spans="1:7" ht="30" customHeight="1" x14ac:dyDescent="0.3">
      <c r="A17" s="14"/>
      <c r="B17" s="14"/>
      <c r="C17" s="14"/>
      <c r="D17" s="14"/>
      <c r="E17" s="14"/>
      <c r="F17" s="14"/>
    </row>
    <row r="18" spans="1:7" ht="30" customHeight="1" x14ac:dyDescent="0.3">
      <c r="A18" s="14"/>
      <c r="B18" s="14"/>
      <c r="C18" s="14"/>
      <c r="D18" s="14"/>
      <c r="E18" s="14"/>
      <c r="F18" s="14"/>
    </row>
    <row r="19" spans="1:7" ht="30" customHeight="1" x14ac:dyDescent="0.3">
      <c r="A19" s="41" t="s">
        <v>12</v>
      </c>
      <c r="B19" s="33"/>
      <c r="C19" s="33"/>
      <c r="D19" s="33"/>
      <c r="E19" s="33"/>
      <c r="F19" s="34"/>
    </row>
    <row r="20" spans="1:7" ht="30" customHeight="1" x14ac:dyDescent="0.3">
      <c r="A20" s="42" t="s">
        <v>13</v>
      </c>
      <c r="B20" s="36"/>
      <c r="C20" s="37"/>
      <c r="D20" s="42" t="s">
        <v>14</v>
      </c>
      <c r="E20" s="36"/>
      <c r="F20" s="37"/>
    </row>
    <row r="21" spans="1:7" ht="30" customHeight="1" x14ac:dyDescent="0.3">
      <c r="A21" s="43" t="s">
        <v>143</v>
      </c>
      <c r="B21" s="44"/>
      <c r="C21" s="44"/>
      <c r="D21" s="38" t="s">
        <v>144</v>
      </c>
      <c r="E21" s="38"/>
      <c r="F21" s="38"/>
      <c r="G21" s="28"/>
    </row>
    <row r="22" spans="1:7" ht="28.8" customHeight="1" x14ac:dyDescent="0.55000000000000004">
      <c r="A22" s="45" t="s">
        <v>146</v>
      </c>
      <c r="B22" s="45"/>
      <c r="C22" s="45"/>
      <c r="D22" s="38" t="s">
        <v>145</v>
      </c>
      <c r="E22" s="38"/>
      <c r="F22" s="38"/>
      <c r="G22" s="28"/>
    </row>
    <row r="27" spans="1:7" ht="28.2" customHeight="1" x14ac:dyDescent="0.3">
      <c r="A27" s="41" t="s">
        <v>15</v>
      </c>
      <c r="B27" s="33"/>
      <c r="C27" s="33"/>
      <c r="D27" s="33"/>
      <c r="E27" s="33"/>
      <c r="F27" s="34"/>
    </row>
    <row r="28" spans="1:7" ht="31.2" customHeight="1" x14ac:dyDescent="0.3">
      <c r="A28" s="42" t="s">
        <v>16</v>
      </c>
      <c r="B28" s="36"/>
      <c r="C28" s="37"/>
      <c r="D28" s="42" t="s">
        <v>17</v>
      </c>
      <c r="E28" s="36"/>
      <c r="F28" s="37"/>
    </row>
    <row r="29" spans="1:7" ht="57" customHeight="1" x14ac:dyDescent="0.3">
      <c r="A29" s="53" t="s">
        <v>140</v>
      </c>
      <c r="B29" s="54"/>
      <c r="C29" s="55"/>
      <c r="D29" s="50" t="s">
        <v>147</v>
      </c>
      <c r="E29" s="51"/>
      <c r="F29" s="52"/>
    </row>
    <row r="32" spans="1:7" ht="28.8" customHeight="1" x14ac:dyDescent="0.55000000000000004">
      <c r="A32" s="46" t="s">
        <v>168</v>
      </c>
      <c r="B32" s="46"/>
      <c r="C32" s="46"/>
      <c r="D32" s="47" t="s">
        <v>169</v>
      </c>
      <c r="E32" s="47"/>
      <c r="F32" s="47"/>
    </row>
    <row r="33" spans="1:6" ht="76.2" customHeight="1" x14ac:dyDescent="0.3">
      <c r="A33" s="49" t="s">
        <v>171</v>
      </c>
      <c r="B33" s="49"/>
      <c r="C33" s="49"/>
      <c r="D33" s="48" t="s">
        <v>170</v>
      </c>
      <c r="E33" s="48"/>
      <c r="F33" s="48"/>
    </row>
  </sheetData>
  <mergeCells count="26">
    <mergeCell ref="A32:C32"/>
    <mergeCell ref="D32:F32"/>
    <mergeCell ref="D33:F33"/>
    <mergeCell ref="A33:C33"/>
    <mergeCell ref="D29:F29"/>
    <mergeCell ref="A29:C29"/>
    <mergeCell ref="A19:F19"/>
    <mergeCell ref="A28:C28"/>
    <mergeCell ref="A10:C10"/>
    <mergeCell ref="A21:C21"/>
    <mergeCell ref="A15:B15"/>
    <mergeCell ref="D28:F28"/>
    <mergeCell ref="C15:D15"/>
    <mergeCell ref="D21:F21"/>
    <mergeCell ref="A20:C20"/>
    <mergeCell ref="D20:F20"/>
    <mergeCell ref="A22:C22"/>
    <mergeCell ref="D22:F22"/>
    <mergeCell ref="A27:F27"/>
    <mergeCell ref="A14:F14"/>
    <mergeCell ref="A6:F7"/>
    <mergeCell ref="D10:F10"/>
    <mergeCell ref="A16:B16"/>
    <mergeCell ref="C16:D16"/>
    <mergeCell ref="D9:F9"/>
    <mergeCell ref="A9:C9"/>
  </mergeCells>
  <hyperlinks>
    <hyperlink ref="D33" r:id="rId1" xr:uid="{770F1C76-59EA-46FC-9575-FC1E908B10E9}"/>
  </hyperlinks>
  <pageMargins left="0.7" right="0.7" top="0.98944444444444446" bottom="0.75" header="0.3" footer="0.3"/>
  <pageSetup paperSize="9" scale="35" orientation="portrait" r:id="rId2"/>
  <headerFooter>
    <oddHeader>&amp;L&amp;22&amp;G&amp;R&amp;22 ProVu Vista Display
Software Integration Test Request
Document ID : GTD-001229/A
Date : 22-Sep-2026</oddHeader>
    <oddFooter>&amp;L&amp;22GOP 004, Design and Development 
GOP004-F14 Issue No: 2&amp;R&amp;22 &amp;P of &amp;N</oddFooter>
  </headerFooter>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52"/>
  <sheetViews>
    <sheetView view="pageBreakPreview" zoomScaleNormal="100" zoomScaleSheetLayoutView="100" workbookViewId="0">
      <selection activeCell="A7" sqref="A7:I7"/>
    </sheetView>
  </sheetViews>
  <sheetFormatPr defaultColWidth="8.6640625" defaultRowHeight="14.4" x14ac:dyDescent="0.3"/>
  <cols>
    <col min="1" max="1" width="12.6640625" style="3" customWidth="1"/>
    <col min="2" max="3" width="8.6640625" style="3" customWidth="1"/>
    <col min="4" max="4" width="21.44140625" style="3" customWidth="1"/>
    <col min="5" max="5" width="20.6640625" style="3" customWidth="1"/>
    <col min="6" max="6" width="8.6640625" style="3" customWidth="1"/>
    <col min="7" max="7" width="16.44140625" style="3" customWidth="1"/>
    <col min="8" max="8" width="13.5546875" style="3" customWidth="1"/>
    <col min="9" max="9" width="21.77734375" style="3" customWidth="1"/>
    <col min="10" max="10" width="8.6640625" style="3" customWidth="1"/>
    <col min="11" max="16384" width="8.6640625" style="3"/>
  </cols>
  <sheetData>
    <row r="1" spans="1:9" ht="18" customHeight="1" x14ac:dyDescent="0.3">
      <c r="A1" s="56" t="s">
        <v>18</v>
      </c>
      <c r="B1" s="36"/>
      <c r="C1" s="36"/>
      <c r="D1" s="36"/>
      <c r="E1" s="36"/>
      <c r="F1" s="36"/>
      <c r="G1" s="36"/>
      <c r="H1" s="36"/>
      <c r="I1" s="37"/>
    </row>
    <row r="2" spans="1:9" ht="15.6" customHeight="1" x14ac:dyDescent="0.3">
      <c r="A2" s="58" t="s">
        <v>19</v>
      </c>
      <c r="B2" s="36"/>
      <c r="C2" s="36"/>
      <c r="D2" s="36"/>
      <c r="E2" s="36"/>
      <c r="F2" s="36"/>
      <c r="G2" s="36"/>
      <c r="H2" s="36"/>
      <c r="I2" s="37"/>
    </row>
    <row r="3" spans="1:9" ht="27" customHeight="1" x14ac:dyDescent="0.3">
      <c r="A3" s="2" t="s">
        <v>7</v>
      </c>
      <c r="B3" s="67" t="s">
        <v>11</v>
      </c>
      <c r="C3" s="36"/>
      <c r="D3" s="36"/>
      <c r="E3" s="37"/>
      <c r="F3" s="59"/>
      <c r="G3" s="61"/>
      <c r="H3" s="60"/>
      <c r="I3" s="61"/>
    </row>
    <row r="4" spans="1:9" ht="28.5" customHeight="1" x14ac:dyDescent="0.3">
      <c r="A4" s="2" t="s">
        <v>20</v>
      </c>
      <c r="B4" s="66" t="s">
        <v>9</v>
      </c>
      <c r="C4" s="36"/>
      <c r="D4" s="36"/>
      <c r="E4" s="37"/>
      <c r="F4" s="64"/>
      <c r="G4" s="65"/>
      <c r="H4" s="62"/>
      <c r="I4" s="63"/>
    </row>
    <row r="5" spans="1:9" ht="29.25" customHeight="1" x14ac:dyDescent="0.3">
      <c r="A5" s="2" t="s">
        <v>21</v>
      </c>
      <c r="B5" s="66" t="s">
        <v>22</v>
      </c>
      <c r="C5" s="36"/>
      <c r="D5" s="36"/>
      <c r="E5" s="37"/>
      <c r="F5" s="62"/>
      <c r="G5" s="63"/>
      <c r="H5" s="4" t="s">
        <v>8</v>
      </c>
      <c r="I5" s="19">
        <v>46287</v>
      </c>
    </row>
    <row r="6" spans="1:9" ht="15.6" customHeight="1" x14ac:dyDescent="0.3">
      <c r="A6" s="57" t="s">
        <v>23</v>
      </c>
      <c r="B6" s="36"/>
      <c r="C6" s="36"/>
      <c r="D6" s="36"/>
      <c r="E6" s="36"/>
      <c r="F6" s="36"/>
      <c r="G6" s="36"/>
      <c r="H6" s="36"/>
      <c r="I6" s="37"/>
    </row>
    <row r="7" spans="1:9" ht="66.45" customHeight="1" x14ac:dyDescent="0.3">
      <c r="A7" s="67" t="s">
        <v>148</v>
      </c>
      <c r="B7" s="51"/>
      <c r="C7" s="51"/>
      <c r="D7" s="51"/>
      <c r="E7" s="51"/>
      <c r="F7" s="51"/>
      <c r="G7" s="51"/>
      <c r="H7" s="51"/>
      <c r="I7" s="52"/>
    </row>
    <row r="8" spans="1:9" ht="15.6" customHeight="1" x14ac:dyDescent="0.3">
      <c r="A8" s="58" t="s">
        <v>24</v>
      </c>
      <c r="B8" s="36"/>
      <c r="C8" s="36"/>
      <c r="D8" s="36"/>
      <c r="E8" s="36"/>
      <c r="F8" s="36"/>
      <c r="G8" s="36"/>
      <c r="H8" s="36"/>
      <c r="I8" s="37"/>
    </row>
    <row r="9" spans="1:9" ht="84" customHeight="1" x14ac:dyDescent="0.3">
      <c r="A9" s="67" t="s">
        <v>175</v>
      </c>
      <c r="B9" s="51"/>
      <c r="C9" s="51"/>
      <c r="D9" s="51"/>
      <c r="E9" s="51"/>
      <c r="F9" s="51"/>
      <c r="G9" s="51"/>
      <c r="H9" s="51"/>
      <c r="I9" s="52"/>
    </row>
    <row r="10" spans="1:9" ht="15.6" customHeight="1" x14ac:dyDescent="0.3">
      <c r="A10" s="58" t="s">
        <v>25</v>
      </c>
      <c r="B10" s="36"/>
      <c r="C10" s="36"/>
      <c r="D10" s="36"/>
      <c r="E10" s="36"/>
      <c r="F10" s="36"/>
      <c r="G10" s="36"/>
      <c r="H10" s="36"/>
      <c r="I10" s="37"/>
    </row>
    <row r="11" spans="1:9" ht="32.4" customHeight="1" x14ac:dyDescent="0.3">
      <c r="A11" s="67" t="s">
        <v>149</v>
      </c>
      <c r="B11" s="51"/>
      <c r="C11" s="51"/>
      <c r="D11" s="51"/>
      <c r="E11" s="51"/>
      <c r="F11" s="51"/>
      <c r="G11" s="51"/>
      <c r="H11" s="51"/>
      <c r="I11" s="52"/>
    </row>
    <row r="12" spans="1:9" ht="15.6" customHeight="1" x14ac:dyDescent="0.3">
      <c r="A12" s="58" t="s">
        <v>26</v>
      </c>
      <c r="B12" s="36"/>
      <c r="C12" s="36"/>
      <c r="D12" s="36"/>
      <c r="E12" s="36"/>
      <c r="F12" s="36"/>
      <c r="G12" s="36"/>
      <c r="H12" s="36"/>
      <c r="I12" s="37"/>
    </row>
    <row r="13" spans="1:9" ht="29.4" customHeight="1" x14ac:dyDescent="0.3">
      <c r="A13" s="67" t="s">
        <v>150</v>
      </c>
      <c r="B13" s="51"/>
      <c r="C13" s="51"/>
      <c r="D13" s="51"/>
      <c r="E13" s="51"/>
      <c r="F13" s="51"/>
      <c r="G13" s="51"/>
      <c r="H13" s="51"/>
      <c r="I13" s="52"/>
    </row>
    <row r="14" spans="1:9" ht="16.95" customHeight="1" x14ac:dyDescent="0.3">
      <c r="A14" s="58" t="s">
        <v>27</v>
      </c>
      <c r="B14" s="36"/>
      <c r="C14" s="36"/>
      <c r="D14" s="36"/>
      <c r="E14" s="36"/>
      <c r="F14" s="36"/>
      <c r="G14" s="36"/>
      <c r="H14" s="36"/>
      <c r="I14" s="37"/>
    </row>
    <row r="15" spans="1:9" ht="21.6" customHeight="1" x14ac:dyDescent="0.3">
      <c r="A15" s="67" t="s">
        <v>150</v>
      </c>
      <c r="B15" s="51"/>
      <c r="C15" s="51"/>
      <c r="D15" s="51"/>
      <c r="E15" s="51"/>
      <c r="F15" s="51"/>
      <c r="G15" s="51"/>
      <c r="H15" s="51"/>
      <c r="I15" s="52"/>
    </row>
    <row r="16" spans="1:9" ht="29.7" customHeight="1" x14ac:dyDescent="0.3">
      <c r="A16" s="58" t="s">
        <v>28</v>
      </c>
      <c r="B16" s="36"/>
      <c r="C16" s="36"/>
      <c r="D16" s="36"/>
      <c r="E16" s="36"/>
      <c r="F16" s="36"/>
      <c r="G16" s="36"/>
      <c r="H16" s="36"/>
      <c r="I16" s="37"/>
    </row>
    <row r="17" spans="1:9" ht="111" customHeight="1" x14ac:dyDescent="0.3">
      <c r="A17" s="67" t="s">
        <v>167</v>
      </c>
      <c r="B17" s="51"/>
      <c r="C17" s="51"/>
      <c r="D17" s="51"/>
      <c r="E17" s="51"/>
      <c r="F17" s="51"/>
      <c r="G17" s="51"/>
      <c r="H17" s="51"/>
      <c r="I17" s="52"/>
    </row>
    <row r="18" spans="1:9" s="16" customFormat="1" ht="15.6" customHeight="1" x14ac:dyDescent="0.3">
      <c r="A18" s="69" t="s">
        <v>29</v>
      </c>
      <c r="B18" s="36"/>
      <c r="C18" s="36"/>
      <c r="D18" s="36"/>
      <c r="E18" s="36"/>
      <c r="F18" s="36"/>
      <c r="G18" s="36"/>
      <c r="H18" s="36"/>
      <c r="I18" s="37"/>
    </row>
    <row r="19" spans="1:9" s="16" customFormat="1" ht="25.2" customHeight="1" x14ac:dyDescent="0.3">
      <c r="A19" s="59" t="s">
        <v>30</v>
      </c>
      <c r="B19" s="36"/>
      <c r="C19" s="36"/>
      <c r="D19" s="36"/>
      <c r="E19" s="36"/>
      <c r="F19" s="36"/>
      <c r="G19" s="36"/>
      <c r="H19" s="36"/>
      <c r="I19" s="37"/>
    </row>
    <row r="20" spans="1:9" ht="15.6" customHeight="1" x14ac:dyDescent="0.3">
      <c r="A20" s="58" t="s">
        <v>31</v>
      </c>
      <c r="B20" s="36"/>
      <c r="C20" s="36"/>
      <c r="D20" s="36"/>
      <c r="E20" s="36"/>
      <c r="F20" s="36"/>
      <c r="G20" s="36"/>
      <c r="H20" s="36"/>
      <c r="I20" s="37"/>
    </row>
    <row r="21" spans="1:9" ht="15.6" customHeight="1" x14ac:dyDescent="0.3">
      <c r="A21" s="70" t="s">
        <v>151</v>
      </c>
      <c r="B21" s="71"/>
      <c r="C21" s="71"/>
      <c r="D21" s="71"/>
      <c r="E21" s="71"/>
      <c r="F21" s="71"/>
      <c r="G21" s="71"/>
      <c r="H21" s="71"/>
      <c r="I21" s="72"/>
    </row>
    <row r="22" spans="1:9" ht="15.6" customHeight="1" x14ac:dyDescent="0.3">
      <c r="A22" s="58" t="s">
        <v>32</v>
      </c>
      <c r="B22" s="36"/>
      <c r="C22" s="36"/>
      <c r="D22" s="36"/>
      <c r="E22" s="36"/>
      <c r="F22" s="36"/>
      <c r="G22" s="36"/>
      <c r="H22" s="36"/>
      <c r="I22" s="37"/>
    </row>
    <row r="23" spans="1:9" ht="15.45" customHeight="1" x14ac:dyDescent="0.3">
      <c r="A23" s="67" t="s">
        <v>152</v>
      </c>
      <c r="B23" s="68"/>
      <c r="C23" s="68"/>
      <c r="D23" s="68"/>
      <c r="E23" s="68"/>
      <c r="F23" s="68"/>
      <c r="G23" s="68"/>
      <c r="H23" s="68"/>
      <c r="I23" s="68"/>
    </row>
    <row r="24" spans="1:9" ht="8.4" customHeight="1" x14ac:dyDescent="0.3">
      <c r="A24" s="68"/>
      <c r="B24" s="68"/>
      <c r="C24" s="68"/>
      <c r="D24" s="68"/>
      <c r="E24" s="68"/>
      <c r="F24" s="68"/>
      <c r="G24" s="68"/>
      <c r="H24" s="68"/>
      <c r="I24" s="68"/>
    </row>
    <row r="25" spans="1:9" ht="11.4" customHeight="1" x14ac:dyDescent="0.3">
      <c r="A25" s="68"/>
      <c r="B25" s="68"/>
      <c r="C25" s="68"/>
      <c r="D25" s="68"/>
      <c r="E25" s="68"/>
      <c r="F25" s="68"/>
      <c r="G25" s="68"/>
      <c r="H25" s="68"/>
      <c r="I25" s="68"/>
    </row>
    <row r="47" ht="7.2" customHeight="1" x14ac:dyDescent="0.3"/>
    <row r="48" hidden="1" x14ac:dyDescent="0.3"/>
    <row r="49" hidden="1" x14ac:dyDescent="0.3"/>
    <row r="51" ht="9" customHeight="1" x14ac:dyDescent="0.3"/>
    <row r="52" hidden="1" x14ac:dyDescent="0.3"/>
  </sheetData>
  <mergeCells count="25">
    <mergeCell ref="A23:I25"/>
    <mergeCell ref="A10:I10"/>
    <mergeCell ref="A13:I13"/>
    <mergeCell ref="A15:I15"/>
    <mergeCell ref="A11:I11"/>
    <mergeCell ref="A14:I14"/>
    <mergeCell ref="A18:I18"/>
    <mergeCell ref="A12:I12"/>
    <mergeCell ref="A21:I21"/>
    <mergeCell ref="A17:I17"/>
    <mergeCell ref="A1:I1"/>
    <mergeCell ref="A6:I6"/>
    <mergeCell ref="A16:I16"/>
    <mergeCell ref="A22:I22"/>
    <mergeCell ref="A20:I20"/>
    <mergeCell ref="A19:I19"/>
    <mergeCell ref="H3:I4"/>
    <mergeCell ref="A2:I2"/>
    <mergeCell ref="F3:G5"/>
    <mergeCell ref="B4:E4"/>
    <mergeCell ref="A8:I8"/>
    <mergeCell ref="B3:E3"/>
    <mergeCell ref="A9:I9"/>
    <mergeCell ref="A7:I7"/>
    <mergeCell ref="B5:E5"/>
  </mergeCells>
  <pageMargins left="0.7" right="0.7" top="1.177" bottom="1.0834999999999999" header="0.3" footer="0.3"/>
  <pageSetup paperSize="9" scale="66" orientation="portrait" r:id="rId1"/>
  <headerFooter>
    <oddHeader>&amp;L&amp;22&amp;G&amp;R&amp;16  ProVu Vista Display
Software Integration Test Request
Document ID : GTD-001229/A
Date : 22-Sep-2026</oddHeader>
    <oddFooter>&amp;L&amp;16GOP 004, Design and Development 
GOP004-F14 Issue No: 2&amp;R&amp;16 &amp;P of &amp;N</oddFooter>
  </headerFooter>
  <colBreaks count="1" manualBreakCount="1">
    <brk id="9"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54"/>
  <sheetViews>
    <sheetView view="pageBreakPreview" topLeftCell="A44" zoomScaleNormal="100" zoomScaleSheetLayoutView="100" zoomScalePageLayoutView="85" workbookViewId="0">
      <selection activeCell="C46" sqref="C46"/>
    </sheetView>
  </sheetViews>
  <sheetFormatPr defaultColWidth="8.6640625" defaultRowHeight="15" x14ac:dyDescent="0.25"/>
  <cols>
    <col min="1" max="1" width="17.5546875" style="1" customWidth="1"/>
    <col min="2" max="2" width="47.6640625" style="1" customWidth="1"/>
    <col min="3" max="3" width="42" style="1" customWidth="1"/>
    <col min="4" max="4" width="48.6640625" style="1" customWidth="1"/>
    <col min="5" max="5" width="4.6640625" style="1" customWidth="1"/>
    <col min="6" max="6" width="6.33203125" style="1" customWidth="1"/>
    <col min="7" max="7" width="8.6640625" style="1" customWidth="1"/>
    <col min="8" max="16384" width="8.6640625" style="1"/>
  </cols>
  <sheetData>
    <row r="1" spans="1:4" ht="15.6" customHeight="1" x14ac:dyDescent="0.25">
      <c r="A1" s="79" t="str">
        <f>'About '!A1</f>
        <v>GTD-001229:  Software Integration Test Request -07</v>
      </c>
      <c r="B1" s="80"/>
      <c r="C1" s="80"/>
      <c r="D1" s="81"/>
    </row>
    <row r="2" spans="1:4" ht="15.6" customHeight="1" x14ac:dyDescent="0.25">
      <c r="A2" s="29" t="s">
        <v>33</v>
      </c>
      <c r="B2" s="29" t="s">
        <v>34</v>
      </c>
      <c r="C2" s="29" t="s">
        <v>35</v>
      </c>
      <c r="D2" s="29" t="s">
        <v>36</v>
      </c>
    </row>
    <row r="3" spans="1:4" ht="18.600000000000001" customHeight="1" x14ac:dyDescent="0.25">
      <c r="A3" s="85" t="s">
        <v>37</v>
      </c>
      <c r="B3" s="86"/>
      <c r="C3" s="86"/>
      <c r="D3" s="87"/>
    </row>
    <row r="4" spans="1:4" ht="81.599999999999994" customHeight="1" x14ac:dyDescent="0.25">
      <c r="A4" s="20">
        <v>10</v>
      </c>
      <c r="B4" s="21" t="s">
        <v>38</v>
      </c>
      <c r="C4" s="21" t="s">
        <v>39</v>
      </c>
      <c r="D4" s="21" t="s">
        <v>40</v>
      </c>
    </row>
    <row r="5" spans="1:4" ht="39.9" customHeight="1" x14ac:dyDescent="0.25">
      <c r="A5" s="20">
        <v>20</v>
      </c>
      <c r="B5" s="21" t="s">
        <v>41</v>
      </c>
      <c r="C5" s="21" t="s">
        <v>42</v>
      </c>
      <c r="D5" s="21" t="s">
        <v>43</v>
      </c>
    </row>
    <row r="6" spans="1:4" ht="116.4" customHeight="1" x14ac:dyDescent="0.25">
      <c r="A6" s="22">
        <v>30</v>
      </c>
      <c r="B6" s="23" t="s">
        <v>44</v>
      </c>
      <c r="C6" s="23" t="s">
        <v>45</v>
      </c>
      <c r="D6" s="23" t="s">
        <v>46</v>
      </c>
    </row>
    <row r="7" spans="1:4" ht="93.6" customHeight="1" x14ac:dyDescent="0.25">
      <c r="A7" s="20">
        <v>40</v>
      </c>
      <c r="B7" s="21" t="s">
        <v>47</v>
      </c>
      <c r="C7" s="21" t="s">
        <v>48</v>
      </c>
      <c r="D7" s="21" t="s">
        <v>49</v>
      </c>
    </row>
    <row r="8" spans="1:4" ht="75.599999999999994" customHeight="1" x14ac:dyDescent="0.25">
      <c r="A8" s="82" t="s">
        <v>157</v>
      </c>
      <c r="B8" s="83"/>
      <c r="C8" s="83"/>
      <c r="D8" s="84"/>
    </row>
    <row r="9" spans="1:4" ht="84.6" customHeight="1" x14ac:dyDescent="0.25">
      <c r="A9" s="24">
        <f>A7+10</f>
        <v>50</v>
      </c>
      <c r="B9" s="25" t="s">
        <v>50</v>
      </c>
      <c r="C9" s="25" t="s">
        <v>51</v>
      </c>
      <c r="D9" s="25" t="s">
        <v>52</v>
      </c>
    </row>
    <row r="10" spans="1:4" ht="64.2" customHeight="1" x14ac:dyDescent="0.25">
      <c r="A10" s="24">
        <f t="shared" ref="A10:A22" si="0">A9+10</f>
        <v>60</v>
      </c>
      <c r="B10" s="25" t="s">
        <v>53</v>
      </c>
      <c r="C10" s="25" t="s">
        <v>54</v>
      </c>
      <c r="D10" s="25" t="s">
        <v>122</v>
      </c>
    </row>
    <row r="11" spans="1:4" ht="54.9" customHeight="1" x14ac:dyDescent="0.25">
      <c r="A11" s="24">
        <f t="shared" si="0"/>
        <v>70</v>
      </c>
      <c r="B11" s="25" t="s">
        <v>55</v>
      </c>
      <c r="C11" s="25" t="s">
        <v>56</v>
      </c>
      <c r="D11" s="25" t="s">
        <v>123</v>
      </c>
    </row>
    <row r="12" spans="1:4" ht="54.9" customHeight="1" x14ac:dyDescent="0.25">
      <c r="A12" s="24">
        <f t="shared" si="0"/>
        <v>80</v>
      </c>
      <c r="B12" s="25" t="s">
        <v>57</v>
      </c>
      <c r="C12" s="25" t="s">
        <v>58</v>
      </c>
      <c r="D12" s="26" t="s">
        <v>124</v>
      </c>
    </row>
    <row r="13" spans="1:4" ht="84.9" customHeight="1" x14ac:dyDescent="0.25">
      <c r="A13" s="24">
        <f t="shared" si="0"/>
        <v>90</v>
      </c>
      <c r="B13" s="25" t="s">
        <v>59</v>
      </c>
      <c r="C13" s="25" t="s">
        <v>60</v>
      </c>
      <c r="D13" s="26" t="s">
        <v>125</v>
      </c>
    </row>
    <row r="14" spans="1:4" ht="67.8" customHeight="1" x14ac:dyDescent="0.25">
      <c r="A14" s="24">
        <f t="shared" si="0"/>
        <v>100</v>
      </c>
      <c r="B14" s="25" t="s">
        <v>61</v>
      </c>
      <c r="C14" s="25" t="s">
        <v>62</v>
      </c>
      <c r="D14" s="26" t="s">
        <v>126</v>
      </c>
    </row>
    <row r="15" spans="1:4" ht="54.9" customHeight="1" x14ac:dyDescent="0.25">
      <c r="A15" s="24">
        <f t="shared" si="0"/>
        <v>110</v>
      </c>
      <c r="B15" s="25" t="s">
        <v>63</v>
      </c>
      <c r="C15" s="25" t="s">
        <v>64</v>
      </c>
      <c r="D15" s="26" t="s">
        <v>127</v>
      </c>
    </row>
    <row r="16" spans="1:4" ht="54.9" customHeight="1" x14ac:dyDescent="0.25">
      <c r="A16" s="24">
        <f t="shared" si="0"/>
        <v>120</v>
      </c>
      <c r="B16" s="25" t="s">
        <v>65</v>
      </c>
      <c r="C16" s="25" t="s">
        <v>66</v>
      </c>
      <c r="D16" s="26" t="s">
        <v>128</v>
      </c>
    </row>
    <row r="17" spans="1:4" ht="54.9" customHeight="1" x14ac:dyDescent="0.25">
      <c r="A17" s="24">
        <f t="shared" si="0"/>
        <v>130</v>
      </c>
      <c r="B17" s="25" t="s">
        <v>158</v>
      </c>
      <c r="C17" s="25" t="s">
        <v>160</v>
      </c>
      <c r="D17" s="26" t="s">
        <v>159</v>
      </c>
    </row>
    <row r="18" spans="1:4" ht="54.9" customHeight="1" x14ac:dyDescent="0.25">
      <c r="A18" s="24">
        <f t="shared" si="0"/>
        <v>140</v>
      </c>
      <c r="B18" s="25" t="s">
        <v>161</v>
      </c>
      <c r="C18" s="25" t="s">
        <v>162</v>
      </c>
      <c r="D18" s="26" t="s">
        <v>163</v>
      </c>
    </row>
    <row r="19" spans="1:4" ht="54.9" customHeight="1" x14ac:dyDescent="0.25">
      <c r="A19" s="24">
        <f t="shared" si="0"/>
        <v>150</v>
      </c>
      <c r="B19" s="30" t="s">
        <v>67</v>
      </c>
      <c r="C19" s="25" t="s">
        <v>68</v>
      </c>
      <c r="D19" s="26" t="s">
        <v>129</v>
      </c>
    </row>
    <row r="20" spans="1:4" ht="54.9" customHeight="1" x14ac:dyDescent="0.25">
      <c r="A20" s="24">
        <f t="shared" si="0"/>
        <v>160</v>
      </c>
      <c r="B20" s="25" t="s">
        <v>164</v>
      </c>
      <c r="C20" s="25" t="s">
        <v>165</v>
      </c>
      <c r="D20" s="26" t="s">
        <v>166</v>
      </c>
    </row>
    <row r="21" spans="1:4" ht="54.9" customHeight="1" x14ac:dyDescent="0.25">
      <c r="A21" s="24">
        <f t="shared" si="0"/>
        <v>170</v>
      </c>
      <c r="B21" s="25" t="s">
        <v>69</v>
      </c>
      <c r="C21" s="25" t="s">
        <v>70</v>
      </c>
      <c r="D21" s="26" t="s">
        <v>130</v>
      </c>
    </row>
    <row r="22" spans="1:4" ht="121.8" customHeight="1" x14ac:dyDescent="0.25">
      <c r="A22" s="24">
        <f t="shared" si="0"/>
        <v>180</v>
      </c>
      <c r="B22" s="25" t="s">
        <v>71</v>
      </c>
      <c r="C22" s="25" t="s">
        <v>72</v>
      </c>
      <c r="D22" s="26" t="s">
        <v>131</v>
      </c>
    </row>
    <row r="23" spans="1:4" ht="61.8" customHeight="1" x14ac:dyDescent="0.25">
      <c r="A23" s="73" t="s">
        <v>153</v>
      </c>
      <c r="B23" s="74"/>
      <c r="C23" s="74"/>
      <c r="D23" s="75"/>
    </row>
    <row r="24" spans="1:4" ht="140.4" customHeight="1" x14ac:dyDescent="0.25">
      <c r="A24" s="24">
        <f>A22+10</f>
        <v>190</v>
      </c>
      <c r="B24" s="25" t="s">
        <v>132</v>
      </c>
      <c r="C24" s="25" t="s">
        <v>73</v>
      </c>
      <c r="D24" s="25" t="s">
        <v>74</v>
      </c>
    </row>
    <row r="25" spans="1:4" ht="78" customHeight="1" x14ac:dyDescent="0.25">
      <c r="A25" s="24">
        <f t="shared" ref="A25:A41" si="1">A24+10</f>
        <v>200</v>
      </c>
      <c r="B25" s="25" t="s">
        <v>75</v>
      </c>
      <c r="C25" s="25" t="s">
        <v>76</v>
      </c>
      <c r="D25" s="26" t="s">
        <v>77</v>
      </c>
    </row>
    <row r="26" spans="1:4" ht="54.9" customHeight="1" x14ac:dyDescent="0.25">
      <c r="A26" s="24">
        <f t="shared" si="1"/>
        <v>210</v>
      </c>
      <c r="B26" s="25" t="s">
        <v>78</v>
      </c>
      <c r="C26" s="25" t="s">
        <v>79</v>
      </c>
      <c r="D26" s="26" t="s">
        <v>80</v>
      </c>
    </row>
    <row r="27" spans="1:4" ht="68.400000000000006" customHeight="1" x14ac:dyDescent="0.25">
      <c r="A27" s="24">
        <f t="shared" si="1"/>
        <v>220</v>
      </c>
      <c r="B27" s="25" t="s">
        <v>81</v>
      </c>
      <c r="C27" s="25" t="s">
        <v>76</v>
      </c>
      <c r="D27" s="26" t="s">
        <v>82</v>
      </c>
    </row>
    <row r="28" spans="1:4" ht="54.9" customHeight="1" x14ac:dyDescent="0.25">
      <c r="A28" s="24">
        <f t="shared" si="1"/>
        <v>230</v>
      </c>
      <c r="B28" s="25" t="s">
        <v>83</v>
      </c>
      <c r="C28" s="25" t="s">
        <v>84</v>
      </c>
      <c r="D28" s="26" t="s">
        <v>85</v>
      </c>
    </row>
    <row r="29" spans="1:4" ht="75.599999999999994" customHeight="1" x14ac:dyDescent="0.25">
      <c r="A29" s="24">
        <f t="shared" si="1"/>
        <v>240</v>
      </c>
      <c r="B29" s="25" t="s">
        <v>86</v>
      </c>
      <c r="C29" s="25" t="s">
        <v>79</v>
      </c>
      <c r="D29" s="26" t="s">
        <v>80</v>
      </c>
    </row>
    <row r="30" spans="1:4" ht="54.9" customHeight="1" x14ac:dyDescent="0.25">
      <c r="A30" s="24">
        <f t="shared" si="1"/>
        <v>250</v>
      </c>
      <c r="B30" s="25" t="s">
        <v>87</v>
      </c>
      <c r="C30" s="25" t="s">
        <v>84</v>
      </c>
      <c r="D30" s="26" t="s">
        <v>85</v>
      </c>
    </row>
    <row r="31" spans="1:4" ht="54.9" customHeight="1" x14ac:dyDescent="0.25">
      <c r="A31" s="24">
        <f t="shared" si="1"/>
        <v>260</v>
      </c>
      <c r="B31" s="25" t="s">
        <v>88</v>
      </c>
      <c r="C31" s="25" t="s">
        <v>76</v>
      </c>
      <c r="D31" s="26" t="s">
        <v>82</v>
      </c>
    </row>
    <row r="32" spans="1:4" ht="66" customHeight="1" x14ac:dyDescent="0.25">
      <c r="A32" s="24">
        <f t="shared" si="1"/>
        <v>270</v>
      </c>
      <c r="B32" s="25" t="s">
        <v>89</v>
      </c>
      <c r="C32" s="25" t="s">
        <v>76</v>
      </c>
      <c r="D32" s="26" t="s">
        <v>82</v>
      </c>
    </row>
    <row r="33" spans="1:4" ht="69.900000000000006" customHeight="1" x14ac:dyDescent="0.25">
      <c r="A33" s="24">
        <f>A32+10</f>
        <v>280</v>
      </c>
      <c r="B33" s="25" t="s">
        <v>133</v>
      </c>
      <c r="C33" s="25" t="s">
        <v>90</v>
      </c>
      <c r="D33" s="26" t="s">
        <v>91</v>
      </c>
    </row>
    <row r="34" spans="1:4" ht="69.900000000000006" customHeight="1" x14ac:dyDescent="0.25">
      <c r="A34" s="24">
        <f t="shared" si="1"/>
        <v>290</v>
      </c>
      <c r="B34" s="25" t="s">
        <v>134</v>
      </c>
      <c r="C34" s="25" t="s">
        <v>90</v>
      </c>
      <c r="D34" s="26" t="s">
        <v>91</v>
      </c>
    </row>
    <row r="35" spans="1:4" ht="69.900000000000006" customHeight="1" x14ac:dyDescent="0.25">
      <c r="A35" s="24">
        <f t="shared" si="1"/>
        <v>300</v>
      </c>
      <c r="B35" s="25" t="s">
        <v>135</v>
      </c>
      <c r="C35" s="25" t="s">
        <v>90</v>
      </c>
      <c r="D35" s="26" t="s">
        <v>91</v>
      </c>
    </row>
    <row r="36" spans="1:4" ht="69.900000000000006" customHeight="1" x14ac:dyDescent="0.25">
      <c r="A36" s="24">
        <f t="shared" si="1"/>
        <v>310</v>
      </c>
      <c r="B36" s="25" t="s">
        <v>136</v>
      </c>
      <c r="C36" s="25" t="s">
        <v>90</v>
      </c>
      <c r="D36" s="26" t="s">
        <v>91</v>
      </c>
    </row>
    <row r="37" spans="1:4" s="5" customFormat="1" ht="108" customHeight="1" x14ac:dyDescent="0.25">
      <c r="A37" s="24">
        <f t="shared" si="1"/>
        <v>320</v>
      </c>
      <c r="B37" s="26" t="s">
        <v>92</v>
      </c>
      <c r="C37" s="25" t="s">
        <v>93</v>
      </c>
      <c r="D37" s="26" t="s">
        <v>94</v>
      </c>
    </row>
    <row r="38" spans="1:4" s="5" customFormat="1" ht="54.9" customHeight="1" x14ac:dyDescent="0.25">
      <c r="A38" s="24">
        <f t="shared" si="1"/>
        <v>330</v>
      </c>
      <c r="B38" s="26" t="s">
        <v>95</v>
      </c>
      <c r="C38" s="25" t="s">
        <v>76</v>
      </c>
      <c r="D38" s="26" t="s">
        <v>82</v>
      </c>
    </row>
    <row r="39" spans="1:4" ht="54.9" customHeight="1" x14ac:dyDescent="0.25">
      <c r="A39" s="24">
        <f t="shared" si="1"/>
        <v>340</v>
      </c>
      <c r="B39" s="26" t="s">
        <v>96</v>
      </c>
      <c r="C39" s="25" t="s">
        <v>79</v>
      </c>
      <c r="D39" s="26" t="s">
        <v>80</v>
      </c>
    </row>
    <row r="40" spans="1:4" ht="54.9" customHeight="1" x14ac:dyDescent="0.25">
      <c r="A40" s="24">
        <f t="shared" si="1"/>
        <v>350</v>
      </c>
      <c r="B40" s="26" t="s">
        <v>97</v>
      </c>
      <c r="C40" s="25" t="s">
        <v>76</v>
      </c>
      <c r="D40" s="26" t="s">
        <v>82</v>
      </c>
    </row>
    <row r="41" spans="1:4" s="5" customFormat="1" ht="54.9" customHeight="1" x14ac:dyDescent="0.25">
      <c r="A41" s="24">
        <f t="shared" si="1"/>
        <v>360</v>
      </c>
      <c r="B41" s="26" t="s">
        <v>98</v>
      </c>
      <c r="C41" s="25" t="s">
        <v>79</v>
      </c>
      <c r="D41" s="26" t="s">
        <v>80</v>
      </c>
    </row>
    <row r="42" spans="1:4" ht="67.8" customHeight="1" x14ac:dyDescent="0.25">
      <c r="A42" s="76" t="s">
        <v>156</v>
      </c>
      <c r="B42" s="77"/>
      <c r="C42" s="77"/>
      <c r="D42" s="78"/>
    </row>
    <row r="43" spans="1:4" ht="81.599999999999994" customHeight="1" x14ac:dyDescent="0.25">
      <c r="A43" s="27">
        <f>A41+10</f>
        <v>370</v>
      </c>
      <c r="B43" s="25" t="s">
        <v>99</v>
      </c>
      <c r="C43" s="25" t="s">
        <v>100</v>
      </c>
      <c r="D43" s="25" t="s">
        <v>101</v>
      </c>
    </row>
    <row r="44" spans="1:4" ht="141" customHeight="1" x14ac:dyDescent="0.25">
      <c r="A44" s="27">
        <f>A43+10</f>
        <v>380</v>
      </c>
      <c r="B44" s="30" t="s">
        <v>102</v>
      </c>
      <c r="C44" s="25" t="s">
        <v>103</v>
      </c>
      <c r="D44" s="25" t="s">
        <v>104</v>
      </c>
    </row>
    <row r="45" spans="1:4" ht="109.8" customHeight="1" x14ac:dyDescent="0.25">
      <c r="A45" s="27">
        <f>A44+10</f>
        <v>390</v>
      </c>
      <c r="B45" s="25" t="s">
        <v>105</v>
      </c>
      <c r="C45" s="25" t="s">
        <v>106</v>
      </c>
      <c r="D45" s="26" t="s">
        <v>107</v>
      </c>
    </row>
    <row r="46" spans="1:4" ht="101.4" customHeight="1" x14ac:dyDescent="0.25">
      <c r="A46" s="27">
        <f>A45+10</f>
        <v>400</v>
      </c>
      <c r="B46" s="25" t="s">
        <v>108</v>
      </c>
      <c r="C46" s="31" t="s">
        <v>174</v>
      </c>
      <c r="D46" s="25" t="s">
        <v>173</v>
      </c>
    </row>
    <row r="47" spans="1:4" ht="103.8" customHeight="1" x14ac:dyDescent="0.25">
      <c r="A47" s="27">
        <f>A46+10</f>
        <v>410</v>
      </c>
      <c r="B47" s="25" t="s">
        <v>109</v>
      </c>
      <c r="C47" s="25" t="s">
        <v>110</v>
      </c>
      <c r="D47" s="26" t="s">
        <v>111</v>
      </c>
    </row>
    <row r="48" spans="1:4" ht="61.2" customHeight="1" x14ac:dyDescent="0.25">
      <c r="A48" s="76" t="s">
        <v>154</v>
      </c>
      <c r="B48" s="77"/>
      <c r="C48" s="77"/>
      <c r="D48" s="78"/>
    </row>
    <row r="49" spans="1:4" s="5" customFormat="1" ht="140.4" customHeight="1" x14ac:dyDescent="0.25">
      <c r="A49" s="24">
        <f>A47+10</f>
        <v>420</v>
      </c>
      <c r="B49" s="26" t="s">
        <v>112</v>
      </c>
      <c r="C49" s="26" t="s">
        <v>113</v>
      </c>
      <c r="D49" s="26" t="s">
        <v>137</v>
      </c>
    </row>
    <row r="50" spans="1:4" ht="72.599999999999994" customHeight="1" x14ac:dyDescent="0.25">
      <c r="A50" s="73" t="s">
        <v>155</v>
      </c>
      <c r="B50" s="74"/>
      <c r="C50" s="74"/>
      <c r="D50" s="75"/>
    </row>
    <row r="51" spans="1:4" ht="138.6" customHeight="1" x14ac:dyDescent="0.25">
      <c r="A51" s="24">
        <f>A49+10</f>
        <v>430</v>
      </c>
      <c r="B51" s="25" t="s">
        <v>139</v>
      </c>
      <c r="C51" s="25" t="s">
        <v>114</v>
      </c>
      <c r="D51" s="26" t="s">
        <v>115</v>
      </c>
    </row>
    <row r="52" spans="1:4" ht="133.80000000000001" customHeight="1" x14ac:dyDescent="0.25">
      <c r="A52" s="24">
        <f>A51+10</f>
        <v>440</v>
      </c>
      <c r="B52" s="25" t="s">
        <v>172</v>
      </c>
      <c r="C52" s="25" t="s">
        <v>116</v>
      </c>
      <c r="D52" s="25" t="s">
        <v>117</v>
      </c>
    </row>
    <row r="53" spans="1:4" ht="106.2" customHeight="1" x14ac:dyDescent="0.25">
      <c r="A53" s="24">
        <f>A52+10</f>
        <v>450</v>
      </c>
      <c r="B53" s="25" t="s">
        <v>118</v>
      </c>
      <c r="C53" s="25" t="s">
        <v>119</v>
      </c>
      <c r="D53" s="25" t="s">
        <v>138</v>
      </c>
    </row>
    <row r="54" spans="1:4" ht="97.8" customHeight="1" x14ac:dyDescent="0.25">
      <c r="A54" s="24">
        <f>A53+10</f>
        <v>460</v>
      </c>
      <c r="B54" s="25" t="s">
        <v>120</v>
      </c>
      <c r="C54" s="25" t="s">
        <v>121</v>
      </c>
      <c r="D54" s="25" t="s">
        <v>141</v>
      </c>
    </row>
  </sheetData>
  <mergeCells count="7">
    <mergeCell ref="A50:D50"/>
    <mergeCell ref="A48:D48"/>
    <mergeCell ref="A1:D1"/>
    <mergeCell ref="A8:D8"/>
    <mergeCell ref="A3:D3"/>
    <mergeCell ref="A23:D23"/>
    <mergeCell ref="A42:D42"/>
  </mergeCells>
  <pageMargins left="1" right="1" top="1.8235294117647058" bottom="1" header="0.5" footer="0.5"/>
  <pageSetup paperSize="9" scale="79" fitToHeight="0" orientation="landscape" r:id="rId1"/>
  <headerFooter>
    <oddHeader>&amp;L&amp;22&amp;G&amp;R&amp;16 ProVu Vista Display
Software Integration Test Request
Document ID : GTD-001229/A
Date : 22-Sep-2026</oddHeader>
    <oddFooter>&amp;L&amp;16GOP 004, Design and Development 
GOP004-F14 Issue No: 2&amp;R&amp;16 &amp;P of &amp;N</oddFooter>
  </headerFooter>
  <rowBreaks count="1" manualBreakCount="1">
    <brk id="46" max="3"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CoverPage</vt:lpstr>
      <vt:lpstr>About </vt:lpstr>
      <vt:lpstr>Test Script</vt:lpstr>
      <vt:lpstr>'About '!Print_Area</vt:lpstr>
      <vt:lpstr>CoverPage!Print_Area</vt:lpstr>
      <vt:lpstr>'Test Script'!Print_Area</vt:lpstr>
      <vt:lpstr>'Test Script'!Print_Titles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Ayush Pareek</dc:creator>
  <cp:keywords/>
  <dc:description>ProVu Vista Display</dc:description>
  <cp:lastModifiedBy>Ayush Pareek</cp:lastModifiedBy>
  <cp:revision/>
  <dcterms:created xsi:type="dcterms:W3CDTF">2026-09-01T10:25:52Z</dcterms:created>
  <dcterms:modified xsi:type="dcterms:W3CDTF">2026-09-25T03:36:17Z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22aa8a-63d8-4890-953f-1b438f48f6cb_Enabled">
    <vt:lpwstr>true</vt:lpwstr>
  </property>
  <property fmtid="{D5CDD505-2E9C-101B-9397-08002B2CF9AE}" pid="3" name="MSIP_Label_5122aa8a-63d8-4890-953f-1b438f48f6cb_SetDate">
    <vt:lpwstr>2023-08-07T04:42:34Z</vt:lpwstr>
  </property>
  <property fmtid="{D5CDD505-2E9C-101B-9397-08002B2CF9AE}" pid="4" name="MSIP_Label_5122aa8a-63d8-4890-953f-1b438f48f6cb_Method">
    <vt:lpwstr>Standard</vt:lpwstr>
  </property>
  <property fmtid="{D5CDD505-2E9C-101B-9397-08002B2CF9AE}" pid="5" name="MSIP_Label_5122aa8a-63d8-4890-953f-1b438f48f6cb_Name">
    <vt:lpwstr>defa4170-0d19-0005-0004-bc88714345d2</vt:lpwstr>
  </property>
  <property fmtid="{D5CDD505-2E9C-101B-9397-08002B2CF9AE}" pid="6" name="MSIP_Label_5122aa8a-63d8-4890-953f-1b438f48f6cb_SiteId">
    <vt:lpwstr>fdbe9f57-3e2d-42ae-bc9f-77a00cf549de</vt:lpwstr>
  </property>
  <property fmtid="{D5CDD505-2E9C-101B-9397-08002B2CF9AE}" pid="7" name="MSIP_Label_5122aa8a-63d8-4890-953f-1b438f48f6cb_ActionId">
    <vt:lpwstr>bc7d992f-7b60-4055-aeb4-c01bbcb7317c</vt:lpwstr>
  </property>
  <property fmtid="{D5CDD505-2E9C-101B-9397-08002B2CF9AE}" pid="8" name="MSIP_Label_5122aa8a-63d8-4890-953f-1b438f48f6cb_ContentBits">
    <vt:lpwstr>0</vt:lpwstr>
  </property>
  <property fmtid="{D5CDD505-2E9C-101B-9397-08002B2CF9AE}" pid="9" name="ContentTypeId">
    <vt:lpwstr>0x010100AE5721F878313C48AB8BCF4E9976D9AA</vt:lpwstr>
  </property>
  <property fmtid="{D5CDD505-2E9C-101B-9397-08002B2CF9AE}" pid="10" name="Context Creator">
    <vt:lpwstr>Windchill Admin</vt:lpwstr>
  </property>
  <property fmtid="{D5CDD505-2E9C-101B-9397-08002B2CF9AE}" pid="11" name="Context Create Timestamp">
    <vt:lpwstr>07-06-2023 16:59:34</vt:lpwstr>
  </property>
  <property fmtid="{D5CDD505-2E9C-101B-9397-08002B2CF9AE}" pid="12" name="iterationObid">
    <vt:lpwstr>OR:wt.doc.WTDocument:37556507</vt:lpwstr>
  </property>
  <property fmtid="{D5CDD505-2E9C-101B-9397-08002B2CF9AE}" pid="13" name="Created On">
    <vt:lpwstr>24-08-2026 14:52:46</vt:lpwstr>
  </property>
  <property fmtid="{D5CDD505-2E9C-101B-9397-08002B2CF9AE}" pid="14" name="wtname">
    <vt:lpwstr>Software Integration Test Request - 07</vt:lpwstr>
  </property>
  <property fmtid="{D5CDD505-2E9C-101B-9397-08002B2CF9AE}" pid="15" name="URL">
    <vt:lpwstr>https://fchill1.flexicare.com/Windchill/servlet/WindchillGW/wt.fv.master.StandardMasterService/doDirectDownload/GTD-001229%20Software%20Integration%20Test%20Request%20-%2007.xlsx?folderId=36426610&amp;ft=FF&amp;userid=4827843&amp;adId=37556513&amp;fileName=000000008f75ce&amp;refsize=73800&amp;mime=application%2Fvnd.openxmlformats-officedocument.spreadsheetml.sheet&amp;mk=wt.fv.master.StandardMasterService&amp;c=99&amp;riid=-1&amp;sT=1790307346&amp;sign=bJIWzCu6tlLBEm5ZIC1phz%2FmpaaZyzgsMPslS6hcEqQ%3D&amp;site=https%3A%2F%2Ffchill1.flexicare.com%2FWindchill%2Fservlet%2FWindchillGW&amp;AUTH_CODE=HmacSHA256&amp;isProxy=true</vt:lpwstr>
  </property>
  <property fmtid="{D5CDD505-2E9C-101B-9397-08002B2CF9AE}" pid="16" name="Modified By">
    <vt:lpwstr>Ayush Pareek</vt:lpwstr>
  </property>
  <property fmtid="{D5CDD505-2E9C-101B-9397-08002B2CF9AE}" pid="17" name="Type">
    <vt:lpwstr>Generic Technical Document (GTD)</vt:lpwstr>
  </property>
  <property fmtid="{D5CDD505-2E9C-101B-9397-08002B2CF9AE}" pid="18" name="RevisionInfo">
    <vt:lpwstr>A</vt:lpwstr>
  </property>
  <property fmtid="{D5CDD505-2E9C-101B-9397-08002B2CF9AE}" pid="19" name="Context Last Modified Timestamp">
    <vt:lpwstr>31-10-2023 22:04:24</vt:lpwstr>
  </property>
  <property fmtid="{D5CDD505-2E9C-101B-9397-08002B2CF9AE}" pid="20" name="Context Number">
    <vt:lpwstr/>
  </property>
  <property fmtid="{D5CDD505-2E9C-101B-9397-08002B2CF9AE}" pid="21" name="Document number">
    <vt:lpwstr>GTD-001229</vt:lpwstr>
  </property>
  <property fmtid="{D5CDD505-2E9C-101B-9397-08002B2CF9AE}" pid="22" name="organization">
    <vt:lpwstr>Flexicare</vt:lpwstr>
  </property>
  <property fmtid="{D5CDD505-2E9C-101B-9397-08002B2CF9AE}" pid="23" name="context">
    <vt:lpwstr>155 - ProVu Accessories</vt:lpwstr>
  </property>
  <property fmtid="{D5CDD505-2E9C-101B-9397-08002B2CF9AE}" pid="24" name="Created By">
    <vt:lpwstr>Ayush Pareek</vt:lpwstr>
  </property>
  <property fmtid="{D5CDD505-2E9C-101B-9397-08002B2CF9AE}" pid="25" name="Context Template">
    <vt:lpwstr>Flexicare Product Template1</vt:lpwstr>
  </property>
  <property fmtid="{D5CDD505-2E9C-101B-9397-08002B2CF9AE}" pid="26" name="Modified On">
    <vt:lpwstr>22-09-2026 10:50:02</vt:lpwstr>
  </property>
  <property fmtid="{D5CDD505-2E9C-101B-9397-08002B2CF9AE}" pid="27" name="lifeCycleState">
    <vt:lpwstr>Preproduction</vt:lpwstr>
  </property>
  <property fmtid="{D5CDD505-2E9C-101B-9397-08002B2CF9AE}" pid="28" name="obid">
    <vt:lpwstr>VR:wt.doc.WTDocument:36828735:895244855-1683632717428-454096398-3-157-22-195@fchill1.flexicare.com</vt:lpwstr>
  </property>
  <property fmtid="{D5CDD505-2E9C-101B-9397-08002B2CF9AE}" pid="29" name="versionInfo">
    <vt:lpwstr>A.6</vt:lpwstr>
  </property>
</Properties>
</file>