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yush.Pareek\Documents\Windchill\Product\155 - ProVu Accessories\Documents\Design\Mindteck Test Scripts\"/>
    </mc:Choice>
  </mc:AlternateContent>
  <xr:revisionPtr revIDLastSave="0" documentId="8_{5760A176-FF08-49D2-B125-D4B65012534C}" xr6:coauthVersionLast="47" xr6:coauthVersionMax="47" xr10:uidLastSave="{00000000-0000-0000-0000-000000000000}"/>
  <bookViews>
    <workbookView xWindow="-108" yWindow="-108" windowWidth="23256" windowHeight="12456" xr2:uid="{00000000-000D-0000-FFFF-FFFF00000000}"/>
  </bookViews>
  <sheets>
    <sheet name="CoverPage" sheetId="1" r:id="rId1"/>
    <sheet name="About " sheetId="2" r:id="rId2"/>
    <sheet name="Test Script" sheetId="3" r:id="rId3"/>
    <sheet name="Error Event Table" sheetId="4" r:id="rId4"/>
  </sheets>
  <definedNames>
    <definedName name="_xlnm._FilterDatabase" localSheetId="3" hidden="1">'Error Event Table'!$A$1:$H$154</definedName>
    <definedName name="_Toc185239913" localSheetId="0">CoverPage!#REF!</definedName>
    <definedName name="_Toc185239914" localSheetId="0">CoverPage!#REF!</definedName>
    <definedName name="_xlnm.Print_Area" localSheetId="1">'About '!$A$1:$I$25</definedName>
    <definedName name="_xlnm.Print_Area" localSheetId="0">CoverPage!$A$1:$F$37</definedName>
    <definedName name="_xlnm.Print_Area" localSheetId="2">'Test Script'!$A$1:$D$90</definedName>
    <definedName name="_xlnm.Print_Titles" localSheetId="2">'Test Script'!$1:$2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9" i="3" l="1"/>
  <c r="A90" i="3" s="1"/>
  <c r="A86" i="3"/>
  <c r="A79" i="3"/>
  <c r="A9" i="3" l="1"/>
  <c r="A10" i="3" s="1"/>
  <c r="A11" i="3" s="1"/>
  <c r="A12" i="3" s="1"/>
  <c r="A13" i="3" s="1"/>
  <c r="A14" i="3" s="1"/>
  <c r="A16" i="3" s="1"/>
  <c r="A17" i="3" s="1"/>
  <c r="A18" i="3" s="1"/>
  <c r="A19" i="3" s="1"/>
  <c r="A20" i="3" s="1"/>
  <c r="A21" i="3" s="1"/>
  <c r="A22" i="3" s="1"/>
  <c r="A23" i="3" s="1"/>
  <c r="A24" i="3" s="1"/>
  <c r="A25" i="3" s="1"/>
  <c r="A27" i="3" s="1"/>
  <c r="A28" i="3" s="1"/>
  <c r="A29" i="3" s="1"/>
  <c r="A30" i="3" s="1"/>
  <c r="A31" i="3" s="1"/>
  <c r="A32" i="3" s="1"/>
  <c r="A33" i="3" s="1"/>
  <c r="A34" i="3" s="1"/>
  <c r="A35" i="3" s="1"/>
  <c r="A36" i="3" s="1"/>
  <c r="A37" i="3" s="1"/>
  <c r="A38" i="3" s="1"/>
  <c r="A39" i="3" s="1"/>
  <c r="A40" i="3" s="1"/>
  <c r="A41" i="3" s="1"/>
  <c r="A42" i="3" s="1"/>
  <c r="A43" i="3" s="1"/>
  <c r="A44" i="3" s="1"/>
  <c r="A45" i="3" s="1"/>
  <c r="A47" i="3" s="1"/>
  <c r="A48" i="3" s="1"/>
  <c r="A49" i="3" s="1"/>
  <c r="A50" i="3" s="1"/>
  <c r="A51" i="3" s="1"/>
  <c r="A52" i="3" s="1"/>
  <c r="A53" i="3" s="1"/>
  <c r="A54" i="3" s="1"/>
  <c r="A56" i="3" s="1"/>
  <c r="A57" i="3" s="1"/>
  <c r="A58" i="3" s="1"/>
  <c r="A60" i="3" s="1"/>
  <c r="A61" i="3" s="1"/>
  <c r="A63" i="3" s="1"/>
  <c r="A64" i="3" s="1"/>
  <c r="A65" i="3" s="1"/>
  <c r="A66" i="3" s="1"/>
  <c r="A67" i="3" s="1"/>
  <c r="A68" i="3" s="1"/>
  <c r="A70" i="3" s="1"/>
  <c r="A71" i="3" s="1"/>
  <c r="A72" i="3" s="1"/>
  <c r="A73" i="3" s="1"/>
  <c r="A74" i="3" s="1"/>
  <c r="A1" i="3"/>
  <c r="A80" i="3" l="1"/>
  <c r="A81" i="3" s="1"/>
  <c r="A82" i="3" s="1"/>
  <c r="A83" i="3" s="1"/>
  <c r="A84" i="3" s="1"/>
  <c r="A75" i="3"/>
  <c r="A76" i="3" s="1"/>
  <c r="A77" i="3" l="1"/>
  <c r="A87" i="3" s="1"/>
</calcChain>
</file>

<file path=xl/sharedStrings.xml><?xml version="1.0" encoding="utf-8"?>
<sst xmlns="http://schemas.openxmlformats.org/spreadsheetml/2006/main" count="1027" uniqueCount="514">
  <si>
    <t>155 - ProVu Accessories</t>
  </si>
  <si>
    <t>ProVu Vista Display – Software Integration Test Request - 09</t>
  </si>
  <si>
    <t>Project:</t>
  </si>
  <si>
    <t>Document ID/Version:</t>
  </si>
  <si>
    <t>DOCUMENT HISTORY</t>
  </si>
  <si>
    <t>Version</t>
  </si>
  <si>
    <t>Document Changes</t>
  </si>
  <si>
    <t>Author</t>
  </si>
  <si>
    <t>Date</t>
  </si>
  <si>
    <t>A</t>
  </si>
  <si>
    <t>Initial release</t>
  </si>
  <si>
    <t>Ayush Pareek</t>
  </si>
  <si>
    <t>Associated Documents</t>
  </si>
  <si>
    <t xml:space="preserve">Document No </t>
  </si>
  <si>
    <t>Document Title</t>
  </si>
  <si>
    <t>SRS-000053</t>
  </si>
  <si>
    <t>ProVu Vista Display –SOFTWARE REQUIREMENT SPECIFICATION</t>
  </si>
  <si>
    <t>GTD-000993</t>
  </si>
  <si>
    <t xml:space="preserve"> PROVU2 LARGE DISPLAY Software Test Plan</t>
  </si>
  <si>
    <t>Attachment</t>
  </si>
  <si>
    <t xml:space="preserve"> Name</t>
  </si>
  <si>
    <t>Description And Summary</t>
  </si>
  <si>
    <t>Test Request Information</t>
  </si>
  <si>
    <t>Revision</t>
  </si>
  <si>
    <t>Reference</t>
  </si>
  <si>
    <t xml:space="preserve">Test objective </t>
  </si>
  <si>
    <t>Test Coverage</t>
  </si>
  <si>
    <t>Test Execution Instructions</t>
  </si>
  <si>
    <t>Test environment</t>
  </si>
  <si>
    <t>n/a</t>
  </si>
  <si>
    <t>Definitions or Acronyms Used</t>
  </si>
  <si>
    <t>Instruments &amp; Tools</t>
  </si>
  <si>
    <t>Fail/Pass Criteria</t>
  </si>
  <si>
    <t>The test shall be considered passed when the actual result for each applicable test step meets the corresponding expected result in the "Test Script" sheet.</t>
  </si>
  <si>
    <t xml:space="preserve">Test Report Reference: </t>
  </si>
  <si>
    <t>TBD</t>
  </si>
  <si>
    <t>Comments:</t>
  </si>
  <si>
    <t>Test Case No.</t>
  </si>
  <si>
    <t>Test Descriptions</t>
  </si>
  <si>
    <t>Expected Result</t>
  </si>
  <si>
    <t xml:space="preserve">Actual Result </t>
  </si>
  <si>
    <t>The following steps verify the software version information.</t>
  </si>
  <si>
    <t xml:space="preserve">1. Connect a USB flash drive to the device
2. Go to user event logs under service menu </t>
  </si>
  <si>
    <t>The software shall log the event with ID 00001.
The event message shall be "USB storage device connected"</t>
  </si>
  <si>
    <t>Select the "Export" button to transfer event logs to USB drive.</t>
  </si>
  <si>
    <t>The software shall display a "Prompt pop-up" with message "File transfer complete"</t>
  </si>
  <si>
    <t xml:space="preserve">Go to user event logs under service menu </t>
  </si>
  <si>
    <t>The software shall log the data-transfer event with ID 00002.
The event message shall be "Data transferred to USB storage device successfully"</t>
  </si>
  <si>
    <t>Disconnect the USB flash drive from the device</t>
  </si>
  <si>
    <t>The software shall log the event with ID 00004.
The event message shall be "USB storage device disconnected"</t>
  </si>
  <si>
    <t>Connect a USB camera to the device through USB-A port.</t>
  </si>
  <si>
    <t>The software shall display a "Warning pop-up" with message "Unsupported USB device."</t>
  </si>
  <si>
    <t xml:space="preserve">Go to error logs under service menu </t>
  </si>
  <si>
    <t>The software shall log the error with ID 00005.
The Error message shall be "Invalid USB class device attached"</t>
  </si>
  <si>
    <t xml:space="preserve">1. Connect a bronchoscope camera to the device
2. Go to user event logs under service menu </t>
  </si>
  <si>
    <t>The software shall log the event with ID 00020.
The event message shall be "Camera connected to port#1"</t>
  </si>
  <si>
    <t xml:space="preserve">1. Disconnect the bronchoscope camera from the device
2. Go to user event logs under service menu </t>
  </si>
  <si>
    <t>The software shall log the event with ID 00021.
The event message shall be "Camera disconnected to port#1"</t>
  </si>
  <si>
    <t xml:space="preserve">1. Connect a USB camera to Port B of the device
2. Go to user event logs under service menu </t>
  </si>
  <si>
    <t>The software shall log the event with ID 00022.
The event message shall be "Camera connected to port#2"</t>
  </si>
  <si>
    <t xml:space="preserve">1. Disconnect the USB camera from Port B of the device
2. Go to user event logs under service menu </t>
  </si>
  <si>
    <t>The software shall log the event with ID 00023.
The event message shall be "Camera disconnected to port#2"</t>
  </si>
  <si>
    <t xml:space="preserve">1. Connect a USB camera to Port C of the device
2. Go to user event logs under service menu </t>
  </si>
  <si>
    <t>The software shall log the event with ID 00024.
The event message shall be "Camera connected to port#3"</t>
  </si>
  <si>
    <t xml:space="preserve">1. Disconnect the USB camera from Port C of the device
2. Go to user event logs under service menu </t>
  </si>
  <si>
    <t>The software shall log the event with ID 00025.
The event message shall be "Camera disconnected to port#3"</t>
  </si>
  <si>
    <t>Connect a faulty bronchoscope camera the device</t>
  </si>
  <si>
    <t>The software shall display a "Warning pop-up" with message 
Internal hardware problem on camera port 1.
Service required by local representative.</t>
  </si>
  <si>
    <t>Connect a faulty USB camera to Port B of the device</t>
  </si>
  <si>
    <t>The software shall display a "Warning pop-up" with message 
Internal hardware problem on camera port 2.
Service required by local representative.</t>
  </si>
  <si>
    <t>Connect a faulty USB camera to Port C of the device</t>
  </si>
  <si>
    <t>The software shall display a "Warning pop-up" with message 
Internal hardware problem on camera port 3.
Service required by local representative.</t>
  </si>
  <si>
    <t>The software shall log the error with ID 00026, 00027, 00028 and message specified in "Error Event Table column "Error/ Event Description/ Log text"</t>
  </si>
  <si>
    <t>1. Login as Admin and go to user account creation page
2. Enter different fields on "Password" and "Re-type password" and confirm</t>
  </si>
  <si>
    <t>The software shall display a "Message pop-up" with message "Passwords do not match."</t>
  </si>
  <si>
    <t>Leave "Username" field empty and confirm the account creation</t>
  </si>
  <si>
    <t>The software shall display a "Message pop-up" with message "Please complete all fields."</t>
  </si>
  <si>
    <t>Enter "Username" as AP@123</t>
  </si>
  <si>
    <t>The software shall display a "Message pop-up" with message "Username must not contain invalid characters."</t>
  </si>
  <si>
    <t>Enter Password as Ap@12</t>
  </si>
  <si>
    <t>The software shall display a "Message pop-up" with message "Password must be at least 8 characters long."</t>
  </si>
  <si>
    <t>Enter the details below and create account
First name: Flexi
Last name: Care
Username: Flexicare
Password: Flexi@12345
Re-type password: Flexi@12345
Do not select account type</t>
  </si>
  <si>
    <t>The software shall display a "Message pop-up" with message "Please select an account type (Service or Standard)."</t>
  </si>
  <si>
    <t>Select Account Type as Standard</t>
  </si>
  <si>
    <t>The user account shall be created successfully.</t>
  </si>
  <si>
    <t xml:space="preserve">Log in as Admin and go to account creation page. Enter below details
First name: Flexi
Last name: Care
Username: Flexicare
Password: Flexi@12345
Re-type password: Flexi@12345
Account Type: Service
</t>
  </si>
  <si>
    <t>The software shall display a "Message pop-up" with message "This username is already in use. Please choose a unique username."</t>
  </si>
  <si>
    <t xml:space="preserve">1. Log in to the device using username "Flexicare" and Password "Flexi@12345"
2. Go to Account creation and update password for user "Flexicare" as "Flexi@123456"
</t>
  </si>
  <si>
    <t>The software shall display a "Message pop-up" with message "Password updated successfully."
The software shall display a "Message pop-up" with message "Account details updated."</t>
  </si>
  <si>
    <t>Log out and try to log in using the old password "Flexi@12345"</t>
  </si>
  <si>
    <t>Login using the old password shall fail.</t>
  </si>
  <si>
    <t>Log in as Flexicare user</t>
  </si>
  <si>
    <t>The software shall display a "Message pop-up" with message "User logged in successfully."</t>
  </si>
  <si>
    <t>he software shall log the event with ID 00050.
The event message shall be "User &lt;x&gt; logged in ( x--&gt; User Name)"</t>
  </si>
  <si>
    <t>Log out from Flexicare user</t>
  </si>
  <si>
    <t>The software shall display a "Message pop-up" with message "User logged out."</t>
  </si>
  <si>
    <t>The software shall log the event with ID 00051.
The event message shall be "User &lt;x&gt; logged out ( x--&gt; User Name)"</t>
  </si>
  <si>
    <t>Log in to the device as Admin and change the admin account password to "Admin@9462"</t>
  </si>
  <si>
    <t>The software shall display a "Message pop-up" with message "Admin logged in"
The software shall display a "Message pop-up" with message "Admin password updated"</t>
  </si>
  <si>
    <t>Log out from Admin account</t>
  </si>
  <si>
    <t>The software shall display a "Message pop-up" with message "Admin logged out"</t>
  </si>
  <si>
    <t>Log in as Admin and create a user account with username "Flexi0001"</t>
  </si>
  <si>
    <t>The software shall display a "Message pop-up" with message "New user account created"</t>
  </si>
  <si>
    <t>Reset the user "Flexi0001" password</t>
  </si>
  <si>
    <t>The software shall display a "Message pop-up" with message "Password reset successfully."</t>
  </si>
  <si>
    <t>Delete the user "Flexi0001" account</t>
  </si>
  <si>
    <t>The software shall display a "Message pop-up" with message "User account deleted."</t>
  </si>
  <si>
    <t>1. Go to the event logs under service menu
2. Verify the event logged from ID 50 to 75 with the message specified in "Error Event Table" column "Error/ Event Description/ Log text"</t>
  </si>
  <si>
    <t>All specified event IDs shall be available with the corresponding messages listed in the "Error Event Table".</t>
  </si>
  <si>
    <t xml:space="preserve">1. Login as Admin and create a service user account with username "service01"
2. Log out from Admin account and log in as service user </t>
  </si>
  <si>
    <t>The software shall display a "Message pop-up" with message "Service user logged in."</t>
  </si>
  <si>
    <t>Log out from service user</t>
  </si>
  <si>
    <t>The software shall display a "Message pop-up" with message "Service user logged out."</t>
  </si>
  <si>
    <t>Log in as service user and change password</t>
  </si>
  <si>
    <t>The software shall display a "Message pop-up" with message "Service password updated."</t>
  </si>
  <si>
    <t>1. Connect USB flash drive to the device
2. Go to error logs and export it</t>
  </si>
  <si>
    <t>The software shall display a "Message pop-up" with message "error logs exported successfully."</t>
  </si>
  <si>
    <t>Go to event logs and export it</t>
  </si>
  <si>
    <t>The software shall display a "Message pop-up" with message "event logs exported successfully."</t>
  </si>
  <si>
    <t>Export Event log and immediately remove USB media</t>
  </si>
  <si>
    <t>The software shall display a "Message pop-up" with message "Error exporting Error Logs. Please try again or view error log."</t>
  </si>
  <si>
    <t>1. Go to the event logs under service menu
2. Verify the events 90, 91, 92, 93, 94, 95, 96 with the message specified in "Error Event Table" column "Error/ Event Description/ Log text"</t>
  </si>
  <si>
    <t>1. Record screen for 2 min
2. Take 5 screen image capture
3. Go to device gallery and delete the recording file</t>
  </si>
  <si>
    <t>The software shall display a "Message pop-up" with message "Selected files deleted."</t>
  </si>
  <si>
    <t xml:space="preserve">Delete all the files including the screen image capture </t>
  </si>
  <si>
    <t>The software shall display a "Message pop-up" with message "All media files deleted."</t>
  </si>
  <si>
    <t>1. Go to the event logs under service menu
2. Verify the events 111, 112 with the message specified in "Error Event Table" column "Error/ Event Description/ Log text"</t>
  </si>
  <si>
    <t>1. Login as Admin and change the device date
2. Go to event log</t>
  </si>
  <si>
    <t>The software shall log the event with ID 130 and message "RTC changed"
The software shall log the event with ID 134 and message "Date &amp; Time Updated "</t>
  </si>
  <si>
    <t>Go to Admin menu and perform the following actions
1. Change Language
2. Change Maximum Video recording length
3. Change Power saving time</t>
  </si>
  <si>
    <t>The software shall log the event with ID 131 and message "Language setting changed"
The software shall log the event with ID 132 and message "Maximum Video recording length updated"
The software shall log the event with ID 133 and message "Power saving time updated"</t>
  </si>
  <si>
    <t>Connect a battery to the device with I2C lines disconnected</t>
  </si>
  <si>
    <t>The software shall display a "Warning pop-up" with message 
Battery fault detected.
Service required by local representative.</t>
  </si>
  <si>
    <t>Connect a battery to the device with power line disconnected</t>
  </si>
  <si>
    <t>The software shall display a "Warning pop-up" with message 
Battery charging fault.
Check the power source.</t>
  </si>
  <si>
    <t>Connect a battery to the device with NTC wire disconnected</t>
  </si>
  <si>
    <t>The software shall display a "Warning pop-up" with message 
Internal hardware problem detected.
Service required by local representative.</t>
  </si>
  <si>
    <t>Go to error log and check for error ID 150</t>
  </si>
  <si>
    <t>The software shall log the error with ID 150 and message "Battery fault"</t>
  </si>
  <si>
    <t>Go to error log and check for error ID 155</t>
  </si>
  <si>
    <t>The software shall log the error with ID 155 and message "Battery charging fault"</t>
  </si>
  <si>
    <t>Go to error log and check for error ID 159</t>
  </si>
  <si>
    <t>The software shall log the error with ID 159 and message "Battery secondary thermistor out of range."</t>
  </si>
  <si>
    <t>Press and hold the power button to reset the device</t>
  </si>
  <si>
    <t>The device shall reset when the user presses and holds the power button.</t>
  </si>
  <si>
    <t>Press the power button and enter sleep mode</t>
  </si>
  <si>
    <t>The system shall enter sleep mode.</t>
  </si>
  <si>
    <t>Press the power button to wake the device from sleep mode</t>
  </si>
  <si>
    <t>The system shall exit sleep mode.</t>
  </si>
  <si>
    <t>1. Press the power button and enter sleep mode
2. Wait for 20 minutes for device to enter into power off</t>
  </si>
  <si>
    <t>The device shall automatically shut down after remaining in sleep mode for 20 minutes.</t>
  </si>
  <si>
    <t>Log in as service user and perform factory reset</t>
  </si>
  <si>
    <t>The device shall complete the factory reset successfully.</t>
  </si>
  <si>
    <t>Start screen recording and press gallery button</t>
  </si>
  <si>
    <t>The software shall display a "Message pop-up" with message "To view the gallery, you must first stop the recording."</t>
  </si>
  <si>
    <t xml:space="preserve">Press the Settings button </t>
  </si>
  <si>
    <t>The software shall display a "Message pop-up" with message "To edit device settings, you must first stop the recording."</t>
  </si>
  <si>
    <t>Connect a battery charged below 20%</t>
  </si>
  <si>
    <t>The software shall display a "Message pop-up" with message 
"Battery charge critical. Unable to start recording.
Please plug in charger."</t>
  </si>
  <si>
    <t>1. Set recording maximum length to 30 min if not set
2. start screen recording and wait for 30 min</t>
  </si>
  <si>
    <t>The software shall display a "Message pop-up" with message 
"Video was split into multiple files."
The software shall display a "Message pop-up" with message 
"Recording ended &amp; Video saved. Maximum 30 min video length reached"</t>
  </si>
  <si>
    <t>1. Set recording maximum length to 60 min if not set
2. start screen recording and wait for 60 min</t>
  </si>
  <si>
    <t>The software shall display a "Message pop-up" with message 
"Video was split into multiple files."
The software shall display a "Message pop-up" with message 
"Recording ended &amp; Video saved. Maximum 60 min video length reached"</t>
  </si>
  <si>
    <t>Go to event logs and check for events 250, 251, 252, 254, 255, 256</t>
  </si>
  <si>
    <t xml:space="preserve">The software shall record all the event IDs with the message specified in "Error Event Table" in column 
"Error/ Event Description/ Log text" </t>
  </si>
  <si>
    <t>1. Connect the serial debug cable to the device and configure it to access the terminal
2. Run commands
    . /etc/profile
    pkill provu</t>
  </si>
  <si>
    <t>The device shall restart successfully.</t>
  </si>
  <si>
    <t>The software shall log the error with ID 205 and message "Watchdog reset occurred"
The software shall log the error with ID 208 and message "Application has exited"</t>
  </si>
  <si>
    <t xml:space="preserve">1. Login as Admin and create 50 standard user accounts.
2. Create another user account after 50 accounts
</t>
  </si>
  <si>
    <t>The software shall display a "Message pop-up" with message 
"Maximum number of 50 users reached."</t>
  </si>
  <si>
    <t>Go to event log under service menu</t>
  </si>
  <si>
    <t>The software shall log the event with ID 76 and message "Maximum number of user accounts reached"</t>
  </si>
  <si>
    <t>Event ID</t>
  </si>
  <si>
    <t>Event category</t>
  </si>
  <si>
    <t>Error/ Event Description/ Log text</t>
  </si>
  <si>
    <t>Event Logs</t>
  </si>
  <si>
    <t>Error Logs</t>
  </si>
  <si>
    <t>GUI warning/Error Type</t>
  </si>
  <si>
    <t>User notifications message</t>
  </si>
  <si>
    <t>GUI screen Identifier</t>
  </si>
  <si>
    <t>GTD-000989</t>
  </si>
  <si>
    <t>USB port</t>
  </si>
  <si>
    <t>USB storage device connected</t>
  </si>
  <si>
    <t>Yes</t>
  </si>
  <si>
    <t>NO</t>
  </si>
  <si>
    <t>Info</t>
  </si>
  <si>
    <t>N/A</t>
  </si>
  <si>
    <t>Data transferred to USB storage device successfully</t>
  </si>
  <si>
    <t>Prompt POP-UP + info</t>
  </si>
  <si>
    <t>File transfer complete</t>
  </si>
  <si>
    <t>Data failed to transfer to USB storage device</t>
  </si>
  <si>
    <t>Error exporting from Gallery. Please try again or view Error Log.</t>
  </si>
  <si>
    <t>USB storage device disconnected</t>
  </si>
  <si>
    <t>Invalid USB class device attached</t>
  </si>
  <si>
    <t>Warning POP-UP</t>
  </si>
  <si>
    <t>Unsupported USB device.</t>
  </si>
  <si>
    <t>Insufficient space on USB storage device</t>
  </si>
  <si>
    <t>USB storage device disconnected while copying</t>
  </si>
  <si>
    <t>Error Exporting from gallery.</t>
  </si>
  <si>
    <t xml:space="preserve">USB device removed during transfer. </t>
  </si>
  <si>
    <t>USB Storage device has duplicates files/folders</t>
  </si>
  <si>
    <t>No</t>
  </si>
  <si>
    <t>USB storage device has duplicate file or folder with name &lt;file or folder name&gt;</t>
  </si>
  <si>
    <t>Camera ports</t>
  </si>
  <si>
    <t>Camera connected to port#1</t>
  </si>
  <si>
    <t>Camera disconnected from port#1</t>
  </si>
  <si>
    <t>Camera connected to port#2</t>
  </si>
  <si>
    <t>Camera disconnected from port#2</t>
  </si>
  <si>
    <t>Camera connected to port#3</t>
  </si>
  <si>
    <t>Camera disconnected from port#3</t>
  </si>
  <si>
    <t>Fault with camera port#1 (Display hardware)</t>
  </si>
  <si>
    <t>Internal hardware problem on camera port 1.</t>
  </si>
  <si>
    <t>Service required by local representative.</t>
  </si>
  <si>
    <t>Fault with camera port#2 (Display hardware)</t>
  </si>
  <si>
    <t>Internal hardware problem on camera port 2.</t>
  </si>
  <si>
    <t xml:space="preserve">Fault with camera port#3 (Display hardware) </t>
  </si>
  <si>
    <t>Internal hardware problem on camera port 3.</t>
  </si>
  <si>
    <t>Fault with camera port#1 ( Accessories )</t>
  </si>
  <si>
    <t>Fault detected on  camera Port 1.</t>
  </si>
  <si>
    <t>Check camera and connections.</t>
  </si>
  <si>
    <t>Fault with camera port#2  ( Accessories )</t>
  </si>
  <si>
    <t>Fault detected on  camera Port 2.</t>
  </si>
  <si>
    <t>Fault with camera port#3  ( Accessories )</t>
  </si>
  <si>
    <t>Fault detected on  camera Port 3.</t>
  </si>
  <si>
    <t>Fault with Bronchoscope ISP</t>
  </si>
  <si>
    <t>3rd camera is attached ( Two Camera already connected)</t>
  </si>
  <si>
    <t>Message POP-UP (if two camera already connected)</t>
  </si>
  <si>
    <t>Maximum of 2 views at a time. Toggle one off to continue.</t>
  </si>
  <si>
    <t>Bronchoscope analog ID invalid</t>
  </si>
  <si>
    <t>USB Host#1 supply rail invalid</t>
  </si>
  <si>
    <t>USB Host#2 supply rail invalid</t>
  </si>
  <si>
    <t>User accounts</t>
  </si>
  <si>
    <t>User &lt;x&gt; logged in ( x--&gt; User Name)</t>
  </si>
  <si>
    <t xml:space="preserve">Message POP-UP </t>
  </si>
  <si>
    <t>User logged in successfully.</t>
  </si>
  <si>
    <t>User &lt;x&gt; logged out ( x--&gt; User Name)</t>
  </si>
  <si>
    <t>User logged out.</t>
  </si>
  <si>
    <t>User &lt;x&gt; changed password ( x--&gt; User Name)</t>
  </si>
  <si>
    <t>Password updated successfully.</t>
  </si>
  <si>
    <t>User &lt;x&gt; Failed password entry ( x--&gt; User Name)</t>
  </si>
  <si>
    <t>User &lt;x&gt; Account details successfully updated  ( x--&gt; User Name)</t>
  </si>
  <si>
    <t>Account details updated.</t>
  </si>
  <si>
    <t>Passwords and Re-Type Passwords not match.</t>
  </si>
  <si>
    <t>Passwords do not match.</t>
  </si>
  <si>
    <t>Text box  fields left empty.</t>
  </si>
  <si>
    <t>Please complete all fields.</t>
  </si>
  <si>
    <t>User name already exists.</t>
  </si>
  <si>
    <t>This username is already in use. Please choose a unique username.</t>
  </si>
  <si>
    <t>User entered invalid characters in username.</t>
  </si>
  <si>
    <t>Username must not contain invalid characters.</t>
  </si>
  <si>
    <t xml:space="preserve">Password entered less than 8 characters. </t>
  </si>
  <si>
    <t>Password must be at least 8 characters long.</t>
  </si>
  <si>
    <t>Invalid password used.</t>
  </si>
  <si>
    <t>Password matches a restricted list and cannot be used.</t>
  </si>
  <si>
    <t>Account type not selected.</t>
  </si>
  <si>
    <t>Please select an account type (Service or Standard).</t>
  </si>
  <si>
    <t>Admin account</t>
  </si>
  <si>
    <t>Admin logged in</t>
  </si>
  <si>
    <t>Admin logged out</t>
  </si>
  <si>
    <t>Admin changed password</t>
  </si>
  <si>
    <t>Admin password updated</t>
  </si>
  <si>
    <t>User &lt;x&gt; account created ( x--&gt; User Name)</t>
  </si>
  <si>
    <t>New user account created.</t>
  </si>
  <si>
    <t>User &lt;x&gt; account deleted ( x--&gt; User Name)</t>
  </si>
  <si>
    <t>User account deleted.</t>
  </si>
  <si>
    <t>User &lt;x&gt; reset password ( x--&gt; User Name)</t>
  </si>
  <si>
    <t>Password reset successfully.</t>
  </si>
  <si>
    <t>Maximum number of user accounts reached</t>
  </si>
  <si>
    <t>Maximum 50 number of users reached.</t>
  </si>
  <si>
    <t>Service user</t>
  </si>
  <si>
    <t>Service user logged in</t>
  </si>
  <si>
    <t>Service user logged in.</t>
  </si>
  <si>
    <t>Service user logged out</t>
  </si>
  <si>
    <t>Service user logged out.</t>
  </si>
  <si>
    <t>Service user changed password</t>
  </si>
  <si>
    <t>Service password updated.</t>
  </si>
  <si>
    <t>Error exporting Error Logs.</t>
  </si>
  <si>
    <t>Error exporting Error Logs. Please try again or view Error Log.</t>
  </si>
  <si>
    <t xml:space="preserve">Error Log File Export done </t>
  </si>
  <si>
    <t>Error logs exported successfully.</t>
  </si>
  <si>
    <t>Error exporting Event Logs.</t>
  </si>
  <si>
    <t>Error exporting Events Logs. Please try again or view Error Log.</t>
  </si>
  <si>
    <t xml:space="preserve">Event Log File Export done </t>
  </si>
  <si>
    <t>Event logs exported successfully.</t>
  </si>
  <si>
    <t>Media Files</t>
  </si>
  <si>
    <t>Media playback file corrupted</t>
  </si>
  <si>
    <t>File corrupted. Cannot play media.</t>
  </si>
  <si>
    <t>Media files deleted</t>
  </si>
  <si>
    <t>Selected files deleted.</t>
  </si>
  <si>
    <t>All media file deleted</t>
  </si>
  <si>
    <t>All media files deleted.</t>
  </si>
  <si>
    <t>Device Settings</t>
  </si>
  <si>
    <t>RTC changed</t>
  </si>
  <si>
    <t>Language setting changed</t>
  </si>
  <si>
    <t xml:space="preserve">Maximum Video recording length updated </t>
  </si>
  <si>
    <t>Power saving time updated</t>
  </si>
  <si>
    <t xml:space="preserve">Date &amp; Time Updated </t>
  </si>
  <si>
    <t>Battery</t>
  </si>
  <si>
    <t>Battery fault</t>
  </si>
  <si>
    <t>Battery fault detected.</t>
  </si>
  <si>
    <t>Battery charger attached</t>
  </si>
  <si>
    <t>Charging started.</t>
  </si>
  <si>
    <t>Battery Low</t>
  </si>
  <si>
    <t>Battery low. Please connect charger.</t>
  </si>
  <si>
    <t>Battery charging slower than expected</t>
  </si>
  <si>
    <t>Battery charging is slow.</t>
  </si>
  <si>
    <t>Check the power source.</t>
  </si>
  <si>
    <t>Battery parameters incorrect</t>
  </si>
  <si>
    <t>Battery charging fault</t>
  </si>
  <si>
    <t>Battery charging fault.</t>
  </si>
  <si>
    <t>Battery internal temperature too High</t>
  </si>
  <si>
    <t>Battery temperature high.</t>
  </si>
  <si>
    <t>Charging terminated.</t>
  </si>
  <si>
    <t>Battery internal temperature too Low</t>
  </si>
  <si>
    <t>Battery temperature low.</t>
  </si>
  <si>
    <t xml:space="preserve">Battery &lt; 3% device entered ship mode. </t>
  </si>
  <si>
    <t>Battery critically low.</t>
  </si>
  <si>
    <t>Device will automatically switch-off.</t>
  </si>
  <si>
    <t>Battery secondary thermister out-of range.</t>
  </si>
  <si>
    <t>Internal hardware problem detected.</t>
  </si>
  <si>
    <t>Battery charger parameters are incorrect.</t>
  </si>
  <si>
    <t xml:space="preserve">Battery Health &lt; 70% </t>
  </si>
  <si>
    <t>Battery health is reduced. Performance may be affected. Battery replacement is recommended.</t>
  </si>
  <si>
    <t>Battery thermistor open circuit.</t>
  </si>
  <si>
    <t>Battery thermistor Open Circuit. Service required by local representative</t>
  </si>
  <si>
    <t>Battery thermistor short circuit.</t>
  </si>
  <si>
    <t>Battery thermistor Short Circuit. Service required by local representative</t>
  </si>
  <si>
    <t>Battery charger disconnected</t>
  </si>
  <si>
    <t>Charging stopped.</t>
  </si>
  <si>
    <t>Software upgrade</t>
  </si>
  <si>
    <t>Software upgrade initiated</t>
  </si>
  <si>
    <t>Software upgrade succeeded</t>
  </si>
  <si>
    <t>Success</t>
  </si>
  <si>
    <t>Software upgrade failed</t>
  </si>
  <si>
    <t>Error updating the software. Please try again or view Error Log.</t>
  </si>
  <si>
    <t>Invalid software used for software upgrade</t>
  </si>
  <si>
    <t>Software upgrade package is corrupt.</t>
  </si>
  <si>
    <t>Please use correct software.</t>
  </si>
  <si>
    <t xml:space="preserve">Software upgrade is incompatible with hardware PCB. </t>
  </si>
  <si>
    <t>Prompt POP-UP +  Warning message</t>
  </si>
  <si>
    <t>Software upgrade package failed.</t>
  </si>
  <si>
    <t>Software package not compatible with hardware version.</t>
  </si>
  <si>
    <t xml:space="preserve">Software Update taking too long </t>
  </si>
  <si>
    <t xml:space="preserve">Software update package is older than existing </t>
  </si>
  <si>
    <t>Software update package is older.</t>
  </si>
  <si>
    <t>Internal Storage</t>
  </si>
  <si>
    <t>Internal storage corrupted</t>
  </si>
  <si>
    <t>Storage error detected.</t>
  </si>
  <si>
    <t>Low disk space.</t>
  </si>
  <si>
    <t>Low disk space. Less than 30mins recording time remaining. Please delete recordings from the gallery to provide more space.</t>
  </si>
  <si>
    <t>Device status</t>
  </si>
  <si>
    <t>Device had unexpected reset</t>
  </si>
  <si>
    <t>Internal temperature too high</t>
  </si>
  <si>
    <t>Internal temperature high.</t>
  </si>
  <si>
    <t>Internal temperature too low</t>
  </si>
  <si>
    <t>Internal temperature low.</t>
  </si>
  <si>
    <t>User reset the device using the power button</t>
  </si>
  <si>
    <t>Device auto shut-off from sleep mode</t>
  </si>
  <si>
    <t>Watchdog reset occurred</t>
  </si>
  <si>
    <t>System entered sleep mode</t>
  </si>
  <si>
    <t>System Exit sleep mode</t>
  </si>
  <si>
    <t>Application has exited</t>
  </si>
  <si>
    <t>Factory reset</t>
  </si>
  <si>
    <t>Application checksum is invalid.</t>
  </si>
  <si>
    <t>Application is corrupted.</t>
  </si>
  <si>
    <t>Booting from recovery</t>
  </si>
  <si>
    <t>Software incompatible with hardware</t>
  </si>
  <si>
    <t>Software incompatible with hardware.</t>
  </si>
  <si>
    <t>Video Recording</t>
  </si>
  <si>
    <t xml:space="preserve">Gallery button pressed while recording on </t>
  </si>
  <si>
    <t>To view the gallery, you must first stop the recording.</t>
  </si>
  <si>
    <t xml:space="preserve">Device setting button pressed while recording on </t>
  </si>
  <si>
    <t>To edit device settings, you must first stop the recording.</t>
  </si>
  <si>
    <t xml:space="preserve">Video Recording attempted at low battery </t>
  </si>
  <si>
    <t>Battery charge critical. Unable to start recording.</t>
  </si>
  <si>
    <t>Please plug in charger.</t>
  </si>
  <si>
    <t>Battery critically low during recording</t>
  </si>
  <si>
    <t>Battery charge critical. Recording has ended and saved. Please plug in or charge device to continue recording.</t>
  </si>
  <si>
    <t>Video was split into multiple files</t>
  </si>
  <si>
    <t>Recording ended &amp; Video saved. Maximum 30 min video length reached</t>
  </si>
  <si>
    <t>Video saved. Maximum video length reached</t>
  </si>
  <si>
    <t>Recording ended &amp; Video Saved. Maximum &lt;x min &gt; video length reached. Video was split into multiple files</t>
  </si>
  <si>
    <t>Video Saved. Maximum video length reached. Video was split into multiple files</t>
  </si>
  <si>
    <t xml:space="preserve">Video recording attempt failed </t>
  </si>
  <si>
    <t>Unable to start recording. Please retry.</t>
  </si>
  <si>
    <t xml:space="preserve">Video recording error during recording </t>
  </si>
  <si>
    <t>Recording error occurred. File may be incomplete.</t>
  </si>
  <si>
    <t>Video recorded file corrupted / not saved</t>
  </si>
  <si>
    <t>Recording not saved or corrupted.</t>
  </si>
  <si>
    <t>Touch Screen</t>
  </si>
  <si>
    <t>Touchscreen sensor fault on startup</t>
  </si>
  <si>
    <t>Touchscreen not detected. Service required by local representative.</t>
  </si>
  <si>
    <t xml:space="preserve">Internal Hardware self checks </t>
  </si>
  <si>
    <t>Internal isolated 3V3 Supply is faulty.</t>
  </si>
  <si>
    <t>CAM_LED6V voltage is too low.</t>
  </si>
  <si>
    <t>Camera LED brightness is low.</t>
  </si>
  <si>
    <t xml:space="preserve">Check camera and connections. </t>
  </si>
  <si>
    <t>CAM_LED6V voltage is too high.</t>
  </si>
  <si>
    <t>Camera LED brightness is high.</t>
  </si>
  <si>
    <t xml:space="preserve">Bronchoscope EEPROM </t>
  </si>
  <si>
    <t>EEPROM not found</t>
  </si>
  <si>
    <t>Faulty camera connected.</t>
  </si>
  <si>
    <t>Check device and connections.</t>
  </si>
  <si>
    <t xml:space="preserve">EEPROM data corrupted </t>
  </si>
  <si>
    <t>Invalid EEPROM data</t>
  </si>
  <si>
    <t>RTC</t>
  </si>
  <si>
    <t xml:space="preserve">Fault reading from RTC </t>
  </si>
  <si>
    <t>Fault writing to RTC</t>
  </si>
  <si>
    <t>Bronchoscope ISP</t>
  </si>
  <si>
    <t>Bronchoscope ISP Chip Not Detected</t>
  </si>
  <si>
    <t>Message POP-UP</t>
  </si>
  <si>
    <t>Power on the device. Configure the language, date and time, and user account.</t>
  </si>
  <si>
    <t>The device configuration shall be completed successfully.</t>
  </si>
  <si>
    <t>Did the device configuration complete successfully? _____
Record the configured username: _____
Record the configured password: _____</t>
  </si>
  <si>
    <t>Open Settings and navigate to the Information screen.</t>
  </si>
  <si>
    <t>The Information screen shall open successfully.</t>
  </si>
  <si>
    <t>Did the Information screen open successfully? _____</t>
  </si>
  <si>
    <t>Verify that the Information screen displays the following version information:
1. OS build version
2. Application version
3. Hardware version
4. FPGA version</t>
  </si>
  <si>
    <t>The device shall display all specified version information.</t>
  </si>
  <si>
    <t>Did the device display all specified version information successfully? _____
Record the OS build version: _____
Record the application version: _____
Record the hardware version: _____
Record the FPGA version: _____</t>
  </si>
  <si>
    <t>Compare the displayed version information with the target Software Release Form.</t>
  </si>
  <si>
    <t>All displayed versions shall match the versions specified in the target Software Release Form.</t>
  </si>
  <si>
    <t>Did all displayed versions match the target release versions? _____
Record the Software Release Form reference: _____
Record any mismatch: _____</t>
  </si>
  <si>
    <t>Did the software log the specified entry with ID 00001?____
Did the event message match "USB storage device connected"? ________</t>
  </si>
  <si>
    <t>Did the software display the specified pop-up message "File transfer complete"?___________</t>
  </si>
  <si>
    <t>Did the software log the specified event with ID 00002? _______
Did the event message match "Data transferred to USB storage device successfully"? __________</t>
  </si>
  <si>
    <t>Did the software log the specified entry with ID 00004?_______
Did the event message match "USB storage device disconnected"? ____________</t>
  </si>
  <si>
    <t>Did the software display the specified pop-up message "Unsupported USB device."? ___________</t>
  </si>
  <si>
    <t>Did the software log the specified entry with ID 00005? ______________
Did the observed result meet the following expected result: The Error message shall be "Invalid USB class device attached"? __________</t>
  </si>
  <si>
    <t>Did the software log the specified entry with ID 00020? ____________
Did the event message match "Camera connected to port#1"? _______</t>
  </si>
  <si>
    <t>Did the software log the specified entry with ID 00021? ____________
Did the event message match "Camera disconnected to port#1"? _____________</t>
  </si>
  <si>
    <t>Did the software log the specified entry with ID 00022? _____________
Did the event message match "Camera connected to port#2"? _____________</t>
  </si>
  <si>
    <t xml:space="preserve">Did the software log the specified entry with ID 00023?
_________________
Did the event message match "Camera disconnected to port#2"? _________________
</t>
  </si>
  <si>
    <t>Did the software log the specified entry with ID 00024? ______________
Did the event message match "Camera connected to port#3"? ____________</t>
  </si>
  <si>
    <t>Did the software log the specified entry with ID 00025? ___________
Did the event message match "Camera disconnected to port#3"? __________________</t>
  </si>
  <si>
    <t>Did the software display the specified pop-up message ? ________
Did the observed result meet the following expected result? ________</t>
  </si>
  <si>
    <t>Did the software display the specified pop-up message ? __________
Did the observed result meet the following expected result? _________</t>
  </si>
  <si>
    <t>Did the software display the specified pop-up message ?
__________
Did the observed result meet the following expected result? __________</t>
  </si>
  <si>
    <t>Did the software log the specified entry with ID 00026, 00027, 00028 and message specified in "Error Event Table column "Error/ Event Description/ Log text"? _________</t>
  </si>
  <si>
    <t>Did the software display the specified pop-up message "Passwords do not match."? __________</t>
  </si>
  <si>
    <t>Did the software display the specified pop-up message "Please complete all fields."?  ___________</t>
  </si>
  <si>
    <t>Did the software display the specified pop-up message "Username must not contain invalid characters."? ______</t>
  </si>
  <si>
    <t>Did the software display the specified pop-up message "Password must be at least 8 characters long."? ________</t>
  </si>
  <si>
    <t>Did the software display the specified pop-up message "Please select an account type (Service or Standard)."? __________</t>
  </si>
  <si>
    <t>Did the user account be created successfully? _________</t>
  </si>
  <si>
    <t>Did the software display the specified pop-up message "This username is already in use. Please choose a unique username."? _____________</t>
  </si>
  <si>
    <t>Did the software display the specified pop-up message "Password updated successfully."? ___________
Did the software display the specified pop-up message "Account details updated."? ________</t>
  </si>
  <si>
    <t>Did login using the old password fail? __________</t>
  </si>
  <si>
    <t>Did the software display the specified pop-up message "User logged in successfully."? __________</t>
  </si>
  <si>
    <t>Did the observed result meet the following expected result: he software shall log the event with ID 00050? _______
Did the event message match "User &lt;x&gt; logged in ( x--&gt; User Name)"? ____________</t>
  </si>
  <si>
    <t>Did the software display the specified pop-up message "User logged out."? ____________</t>
  </si>
  <si>
    <t>Did the software log the specified entry with ID 00051?
Did the event message match "User &lt;x&gt; logged out ( x--&gt; User Name)"? _________</t>
  </si>
  <si>
    <t>Did the software display the specified pop-up message "Admin logged in"? ________________
Did the software display the specified pop-up message "Admin password updated"? __________</t>
  </si>
  <si>
    <t>Did the software display the specified pop-up message "Admin logged out"? ___________</t>
  </si>
  <si>
    <t>Did the software display the specified pop-up message "New user account created"? _________</t>
  </si>
  <si>
    <t>Did the software display the specified pop-up message "Password reset successfully."? ____________</t>
  </si>
  <si>
    <t>Did the software display the specified pop-up message "User account deleted."? __________</t>
  </si>
  <si>
    <t>Did all specified event IDs appear with the corresponding messages listed in the "Error Event Table"? _________</t>
  </si>
  <si>
    <t>Did the software display the specified pop-up message "Service user logged in."?___________</t>
  </si>
  <si>
    <t>Did the software display the specified pop-up message "Service user logged out."? ___________</t>
  </si>
  <si>
    <t>Did the software display the specified pop-up message "Service password updated."? __________</t>
  </si>
  <si>
    <t>Did the software display the specified pop-up message "error logs exported successfully." ? ____________</t>
  </si>
  <si>
    <t>Did the software display the specified pop-up message "event logs exported successfully."? ______________</t>
  </si>
  <si>
    <t>Did the software display the specified pop-up message "Error exporting Error Logs. Please try again or view error log."? ___________</t>
  </si>
  <si>
    <t>Did all specified event IDs appear with the corresponding messages listed in the "Error Event Table"?_________</t>
  </si>
  <si>
    <t>Did the software display the specified pop-up message "Selected files deleted."? _______</t>
  </si>
  <si>
    <t>Did the software display the specified pop-up message "All media files deleted."? __________</t>
  </si>
  <si>
    <t>Did the software log the specified entry with ID 131 and message "Language setting changed"? ____________
Did the software log the specified entry with ID 132 and message "Maximum Video recording length updated"? _____________
Did the software log the specified entry with ID 133 and message "Power saving time updated"? _________</t>
  </si>
  <si>
    <t>Did the software log the specified entry with ID 130 and message "RTC changed"? _______
Did the software log the specified entry with ID 134 and message "Date &amp; Time Updated "? _________</t>
  </si>
  <si>
    <t>Did the software display the specified pop-up message ? ____________
Did the observed result meet the following expected result? ____________</t>
  </si>
  <si>
    <t>Did the software display the specified pop-up message ? _____________
Did the observed result meet the following expected result? ____________</t>
  </si>
  <si>
    <t>Did the software log the specified entry with ID 150 and message "Battery fault"? _____________</t>
  </si>
  <si>
    <t>Did the software log the specified entry with ID 155 and message "Battery charging fault"? __________</t>
  </si>
  <si>
    <t>Did the software log the specified entry with ID 159 and message "Battery secondary thermistor out of range."? ____________</t>
  </si>
  <si>
    <t>Did the device reset when the user presses and holds the power button?___________</t>
  </si>
  <si>
    <t>Did the system enter sleep mode? _________</t>
  </si>
  <si>
    <t>Did the system exit sleep mode? _______</t>
  </si>
  <si>
    <t>Did the device automatically shut down after remaining in sleep mode for 20 minutes? __________</t>
  </si>
  <si>
    <t>Did the device complete the factory reset successfully?__________</t>
  </si>
  <si>
    <t>Did the software display the specified pop-up message "To view the gallery, you must first stop the recording."? __________</t>
  </si>
  <si>
    <t>Did the software display the specified pop-up message "To edit device settings, you must first stop the recording."?__________</t>
  </si>
  <si>
    <t>Did the software display the specified pop-up message?
___________
Did the observed result meet the following expected result? ___________</t>
  </si>
  <si>
    <t>Did the software display the specified pop-up messages? __________
Did the observed result meet the following expected result "Video was split into multiple files."?_______
Did the observed result meet the following expected result "Recording ended &amp; Video saved. Maximum 30 min video length reached"? _____________</t>
  </si>
  <si>
    <t>Did the software display the specified pop-up message ? ___________
Did the observed result meet the following expected result: "Video was split into multiple files."? ________
Did the observed result meet the following expected result: "Recording ended &amp; Video saved. Maximum 60 min video length reached"?_____________</t>
  </si>
  <si>
    <t>Did the software record all the event IDs with the message specified in "Error Event Table" in column "Error/ Event Description/ Log text"? _______________</t>
  </si>
  <si>
    <t>Did the device restart successfully? _____________</t>
  </si>
  <si>
    <t>Did the software log the specified entry with ID 205 and message "Watchdog reset occurred"? __________
Did the software log the specified entry with ID 208 and message "Application has exited"? _________</t>
  </si>
  <si>
    <t>Did the software display the specified pop-up message ? ________________
Did the observed result meet the following expected result: "Maximum number of 50 users reached."? __________</t>
  </si>
  <si>
    <t>Did the software log the specified entry with ID 76 and message "Maximum number of user accounts reached"? ______________</t>
  </si>
  <si>
    <t>SRS-FUN-ENW-990, SRS-FUN-STG-1020</t>
  </si>
  <si>
    <t>1. Linux or Windows PC
2. USB to UART cable (high speed 1.5Mbps)</t>
  </si>
  <si>
    <t>Test ID: STS-ProVuVista-Integration-09-000010
Software item under test: SRS-FUN-ENW-990
This section verifies the event related to USB Port</t>
  </si>
  <si>
    <t>Go to event logs and check for events 203, 204, 206, 207, 209, 256</t>
  </si>
  <si>
    <t>Test ID: STS-ProVuVista-Integration-09-000020
Software item under test: SRS-FUN-ENW-990
This section verifies the event related to Camera Ports</t>
  </si>
  <si>
    <t>Test ID: STS-ProVuVista-Integration-09-000040
Software item under test: SRS-FUN-ENW-990
This section verifies the events related to Service User account</t>
  </si>
  <si>
    <t>Test ID: STS-ProVuVista-Integration-09-000070
Software item under test: SRS-FUN-ENW-990
This section verifies the events related to Battery</t>
  </si>
  <si>
    <t>Test ID: STS-ProVuVista-Integration-09-000080
Software item under test: SRS-FUN-ENW-990
This section verifies the events related to Device Status</t>
  </si>
  <si>
    <t>Test ID: STS-ProVuVista-Integration-09-0000100
Software item under test: SRS-FUN-ENW-990
This section verifies the max account limit reached event ID 76</t>
  </si>
  <si>
    <t>Test ID: STS-ProVuVista-Integration-09-0000100
Software item under test: SRS-FUN-ENW-990, SRS-FUN-STG-1020
This section verifies the low disk space error</t>
  </si>
  <si>
    <t>The software shall display a "Warning pop-up" with message 
"Low disk space. Less than 30mins recording time remaining. Please delete recordings from the gallery to provide more space."</t>
  </si>
  <si>
    <t>Did the software display the specified pop-up message ? ________________
Did the error message have text as expected? ________</t>
  </si>
  <si>
    <t>Go to error log and check for error ID 191</t>
  </si>
  <si>
    <t>The software shall log the error with ID 191 and message "Low disk space"</t>
  </si>
  <si>
    <t>Did the software log the specified entry with ID 191 and message "Low disk space"? _____________</t>
  </si>
  <si>
    <t>This test method verifies the 
- Warning and Errors 
- Internal Storage Full</t>
  </si>
  <si>
    <t>Linux PC with minicom installed to talk over serial terminal or Else a Window Host PC with putty</t>
  </si>
  <si>
    <t>1. If a test step require to configure the serial terminal then configure the baud rate to 1.5Mbps
2. Once device boot up then login using "username" as root. Leave password blank
3. Set kernel log level to 2 by running command "dmesg -n 2"</t>
  </si>
  <si>
    <t xml:space="preserve"> GTD-001263/A</t>
  </si>
  <si>
    <t>GTD-001263:  Software Integration Test Request -09</t>
  </si>
  <si>
    <t>Test ID: STS-ProVuVista-Integration-09-000030
Software item under test: SRS-FUN-ENW-990
This section verifies the events related to Standard and Admin User accounts</t>
  </si>
  <si>
    <t>Test ID: STS-ProVuVista-Integration-09-000050
Software item under test: SRS-FUN-ENW-990
This section verifies the events related to Media Files</t>
  </si>
  <si>
    <t>Test ID: STS-ProVuVista-Integration-09-000060
Software item under test: SRS-FUN-ENW-990
This section verifies the events related to Device Settings</t>
  </si>
  <si>
    <t>Test ID: STS-ProVuVista-Integration-09-000090
Software item under test: SRS-FUN-ENW-990
This section verifies the events related to video recording</t>
  </si>
  <si>
    <t>1. Go to service menu and perform factory reset
2. Start screen recording with any of two camera devices plugged in
3. Wait for a low disk space error occur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</si>
</sst>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09]dd\ mmmm\ yyyy;@"/>
  </numFmts>
  <fonts count="26" x14ac:knownFonts="1">
    <font>
      <sz val="11"/>
      <color theme="1"/>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22"/>
      <color theme="1"/>
      <name val="Arial"/>
      <family val="2"/>
      <charset val="1"/>
    </font>
    <font>
      <sz val="22"/>
      <name val="Arial"/>
      <family val="2"/>
      <charset val="1"/>
    </font>
    <font>
      <b/>
      <sz val="12"/>
      <color theme="1"/>
      <name val="Arial"/>
      <family val="2"/>
      <charset val="1"/>
    </font>
    <font>
      <i/>
      <sz val="12"/>
      <color theme="1"/>
      <name val="Arial"/>
      <family val="2"/>
      <charset val="1"/>
    </font>
    <font>
      <sz val="12"/>
      <color theme="1"/>
      <name val="Arial"/>
      <family val="2"/>
      <charset val="1"/>
    </font>
    <font>
      <b/>
      <sz val="11"/>
      <color theme="1"/>
      <name val="Calibri"/>
      <family val="2"/>
      <charset val="1"/>
    </font>
    <font>
      <i/>
      <sz val="12"/>
      <color rgb="FFFF0000"/>
      <name val="Arial"/>
      <family val="2"/>
    </font>
    <font>
      <sz val="22"/>
      <color theme="1"/>
      <name val="Calibri"/>
      <family val="2"/>
      <scheme val="minor"/>
    </font>
    <font>
      <sz val="22"/>
      <name val="Calibri"/>
      <family val="2"/>
      <scheme val="minor"/>
    </font>
    <font>
      <b/>
      <sz val="22"/>
      <color theme="1"/>
      <name val="Calibri"/>
      <family val="2"/>
      <scheme val="minor"/>
    </font>
    <font>
      <b/>
      <sz val="22"/>
      <name val="Calibri"/>
      <family val="2"/>
      <scheme val="minor"/>
    </font>
    <font>
      <b/>
      <sz val="22"/>
      <color rgb="FF000000"/>
      <name val="Calibri"/>
      <family val="2"/>
      <scheme val="minor"/>
    </font>
    <font>
      <b/>
      <sz val="10"/>
      <color rgb="FF000000"/>
      <name val="Arial"/>
      <family val="2"/>
    </font>
    <font>
      <sz val="10"/>
      <color rgb="FF000000"/>
      <name val="Arial"/>
      <family val="2"/>
    </font>
    <font>
      <sz val="10"/>
      <color rgb="FF00B050"/>
      <name val="Arial"/>
      <family val="2"/>
    </font>
    <font>
      <b/>
      <sz val="11"/>
      <color theme="1"/>
      <name val="Calibri"/>
      <family val="2"/>
      <scheme val="minor"/>
    </font>
    <font>
      <sz val="11"/>
      <color rgb="FF000000"/>
      <name val="Calibri"/>
      <family val="2"/>
      <scheme val="minor"/>
    </font>
    <font>
      <sz val="11"/>
      <name val="Calibri"/>
      <family val="2"/>
      <scheme val="minor"/>
    </font>
    <font>
      <sz val="10"/>
      <name val="Arial"/>
      <family val="2"/>
    </font>
    <font>
      <sz val="11"/>
      <name val="Calibri"/>
      <family val="2"/>
      <charset val="1"/>
    </font>
    <font>
      <sz val="11"/>
      <name val="Calibri"/>
      <family val="2"/>
    </font>
    <font>
      <i/>
      <sz val="22"/>
      <name val="Calibri"/>
      <family val="2"/>
      <scheme val="minor"/>
    </font>
  </fonts>
  <fills count="10">
    <fill>
      <patternFill patternType="none"/>
    </fill>
    <fill>
      <patternFill patternType="gray125"/>
    </fill>
    <fill>
      <patternFill patternType="solid">
        <fgColor theme="2" tint="-9.9978637043366805E-2"/>
        <bgColor rgb="FFD9D9D9"/>
      </patternFill>
    </fill>
    <fill>
      <patternFill patternType="solid">
        <fgColor rgb="FFD9D9D9"/>
        <bgColor rgb="FFD0CECE"/>
      </patternFill>
    </fill>
    <fill>
      <patternFill patternType="solid">
        <fgColor theme="4" tint="0.39988402966399123"/>
        <bgColor rgb="FFBDD7EE"/>
      </patternFill>
    </fill>
    <fill>
      <patternFill patternType="solid">
        <fgColor theme="0"/>
        <bgColor rgb="FFFFFFCC"/>
      </patternFill>
    </fill>
    <fill>
      <patternFill patternType="solid">
        <fgColor theme="4" tint="0.59987182226020086"/>
        <bgColor rgb="FFD0CECE"/>
      </patternFill>
    </fill>
    <fill>
      <patternFill patternType="solid">
        <fgColor theme="4" tint="0.79989013336588644"/>
        <bgColor rgb="FFD9D9D9"/>
      </patternFill>
    </fill>
    <fill>
      <patternFill patternType="solid">
        <fgColor rgb="FFA6A6A6"/>
        <bgColor indexed="64"/>
      </patternFill>
    </fill>
    <fill>
      <patternFill patternType="solid">
        <fgColor rgb="FFFFFFFF"/>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s>
  <cellStyleXfs count="1">
    <xf numFmtId="0" fontId="0" fillId="0" borderId="0"/>
  </cellStyleXfs>
  <cellXfs count="109">
    <xf numFmtId="0" fontId="0" fillId="0" borderId="0" xfId="0"/>
    <xf numFmtId="0" fontId="0" fillId="0" borderId="0" xfId="0" applyAlignment="1">
      <alignment horizontal="center"/>
    </xf>
    <xf numFmtId="0" fontId="4" fillId="0" borderId="0" xfId="0" applyFont="1"/>
    <xf numFmtId="0" fontId="5" fillId="0" borderId="0" xfId="0" applyFont="1" applyAlignment="1">
      <alignment horizontal="right"/>
    </xf>
    <xf numFmtId="0" fontId="0" fillId="0" borderId="0" xfId="0" applyAlignment="1">
      <alignment vertical="center"/>
    </xf>
    <xf numFmtId="0" fontId="6" fillId="0" borderId="1" xfId="0" applyFont="1" applyBorder="1" applyAlignment="1">
      <alignment vertical="center"/>
    </xf>
    <xf numFmtId="15" fontId="7" fillId="0" borderId="1" xfId="0" applyNumberFormat="1" applyFont="1" applyBorder="1" applyAlignment="1">
      <alignment horizontal="right" vertical="center"/>
    </xf>
    <xf numFmtId="0" fontId="8" fillId="0" borderId="0" xfId="0" applyFont="1"/>
    <xf numFmtId="0" fontId="8" fillId="0" borderId="0" xfId="0" applyFont="1" applyAlignment="1">
      <alignment wrapText="1"/>
    </xf>
    <xf numFmtId="0" fontId="9" fillId="7" borderId="1" xfId="0" applyFont="1" applyFill="1" applyBorder="1" applyAlignment="1">
      <alignment vertical="center" wrapText="1"/>
    </xf>
    <xf numFmtId="0" fontId="11" fillId="0" borderId="0" xfId="0" applyFont="1"/>
    <xf numFmtId="0" fontId="12" fillId="0" borderId="0" xfId="0" applyFont="1" applyAlignment="1">
      <alignment horizontal="right"/>
    </xf>
    <xf numFmtId="0" fontId="11" fillId="0" borderId="0" xfId="0" applyFont="1" applyAlignment="1">
      <alignment horizontal="center"/>
    </xf>
    <xf numFmtId="0" fontId="11" fillId="0" borderId="0" xfId="0" applyFont="1" applyAlignment="1">
      <alignment horizontal="center" vertical="center"/>
    </xf>
    <xf numFmtId="164" fontId="11" fillId="0" borderId="1" xfId="0" applyNumberFormat="1" applyFont="1" applyBorder="1" applyAlignment="1">
      <alignment horizontal="center" vertical="center" wrapText="1"/>
    </xf>
    <xf numFmtId="0" fontId="11" fillId="0" borderId="0" xfId="0" applyFont="1" applyAlignment="1">
      <alignment horizontal="center" vertical="center" wrapText="1"/>
    </xf>
    <xf numFmtId="0" fontId="11" fillId="0" borderId="1" xfId="0" applyFont="1" applyBorder="1" applyAlignment="1">
      <alignment horizontal="center" vertical="center" wrapText="1"/>
    </xf>
    <xf numFmtId="0" fontId="3" fillId="0" borderId="0" xfId="0" applyFont="1"/>
    <xf numFmtId="0" fontId="3" fillId="0" borderId="0" xfId="0" applyFont="1" applyAlignment="1">
      <alignment horizontal="center"/>
    </xf>
    <xf numFmtId="0" fontId="15" fillId="3" borderId="1" xfId="0" applyFont="1" applyFill="1" applyBorder="1" applyAlignment="1">
      <alignment horizontal="center" vertical="center" wrapText="1"/>
    </xf>
    <xf numFmtId="0" fontId="0" fillId="0" borderId="0" xfId="0" applyAlignment="1">
      <alignment horizontal="left" vertical="center"/>
    </xf>
    <xf numFmtId="0" fontId="6" fillId="5" borderId="1" xfId="0" applyFont="1" applyFill="1" applyBorder="1" applyAlignment="1">
      <alignment horizontal="left" vertical="center"/>
    </xf>
    <xf numFmtId="0" fontId="17" fillId="0" borderId="1" xfId="0" applyFont="1" applyBorder="1" applyAlignment="1">
      <alignment vertical="center"/>
    </xf>
    <xf numFmtId="0" fontId="17" fillId="0" borderId="1" xfId="0" applyFont="1" applyBorder="1" applyAlignment="1">
      <alignment horizontal="center" vertical="center"/>
    </xf>
    <xf numFmtId="0" fontId="17" fillId="0" borderId="1" xfId="0" applyFont="1" applyBorder="1" applyAlignment="1">
      <alignment vertical="center" wrapText="1"/>
    </xf>
    <xf numFmtId="0" fontId="17" fillId="9" borderId="1" xfId="0" applyFont="1" applyFill="1" applyBorder="1" applyAlignment="1">
      <alignment vertical="center"/>
    </xf>
    <xf numFmtId="0" fontId="17" fillId="9" borderId="1" xfId="0" applyFont="1" applyFill="1" applyBorder="1" applyAlignment="1">
      <alignment horizontal="center" vertical="center"/>
    </xf>
    <xf numFmtId="0" fontId="17" fillId="9" borderId="1" xfId="0" applyFont="1" applyFill="1" applyBorder="1" applyAlignment="1">
      <alignment vertical="center" wrapText="1"/>
    </xf>
    <xf numFmtId="0" fontId="16" fillId="8" borderId="1" xfId="0" applyFont="1" applyFill="1" applyBorder="1" applyAlignment="1">
      <alignment vertical="center" wrapText="1"/>
    </xf>
    <xf numFmtId="0" fontId="20" fillId="0" borderId="1" xfId="0" applyFont="1" applyBorder="1" applyAlignment="1">
      <alignment horizontal="left" vertical="top" wrapText="1"/>
    </xf>
    <xf numFmtId="0" fontId="2" fillId="0" borderId="1" xfId="0" applyFont="1" applyBorder="1" applyAlignment="1">
      <alignment vertical="center" wrapText="1"/>
    </xf>
    <xf numFmtId="0" fontId="2" fillId="0" borderId="0" xfId="0" applyFont="1" applyAlignment="1">
      <alignment vertical="center" wrapText="1"/>
    </xf>
    <xf numFmtId="0" fontId="20" fillId="9" borderId="1" xfId="0" applyFont="1" applyFill="1" applyBorder="1" applyAlignment="1">
      <alignment vertical="center"/>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3" xfId="0" applyFont="1" applyBorder="1" applyAlignment="1">
      <alignment horizontal="left" vertical="center" wrapText="1"/>
    </xf>
    <xf numFmtId="0" fontId="9" fillId="7"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8" fillId="0" borderId="0" xfId="0" applyFont="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vertical="center" wrapText="1"/>
    </xf>
    <xf numFmtId="0" fontId="8" fillId="0" borderId="0" xfId="0" applyFont="1" applyBorder="1" applyAlignment="1">
      <alignment horizontal="center" vertical="center" wrapText="1"/>
    </xf>
    <xf numFmtId="0" fontId="8" fillId="0" borderId="0" xfId="0" applyFont="1" applyBorder="1" applyAlignment="1">
      <alignment wrapText="1"/>
    </xf>
    <xf numFmtId="0" fontId="21" fillId="9" borderId="1" xfId="0" applyFont="1" applyFill="1" applyBorder="1" applyAlignment="1">
      <alignment vertical="center" wrapText="1"/>
    </xf>
    <xf numFmtId="0" fontId="22" fillId="9" borderId="1" xfId="0" applyFont="1" applyFill="1" applyBorder="1" applyAlignment="1">
      <alignment vertical="center"/>
    </xf>
    <xf numFmtId="0" fontId="22" fillId="9" borderId="1" xfId="0" applyFont="1" applyFill="1" applyBorder="1" applyAlignment="1">
      <alignment vertical="center" wrapText="1"/>
    </xf>
    <xf numFmtId="0" fontId="22" fillId="0" borderId="1" xfId="0" applyFont="1" applyBorder="1" applyAlignment="1">
      <alignment vertical="center" wrapText="1"/>
    </xf>
    <xf numFmtId="0" fontId="1" fillId="0" borderId="1" xfId="0" applyFont="1" applyBorder="1" applyAlignment="1">
      <alignment vertical="center" wrapText="1"/>
    </xf>
    <xf numFmtId="0" fontId="11" fillId="0" borderId="1" xfId="0" applyFont="1" applyBorder="1" applyAlignment="1">
      <alignment horizontal="center" vertical="center" wrapText="1"/>
    </xf>
    <xf numFmtId="0" fontId="0" fillId="0" borderId="4" xfId="0" applyBorder="1"/>
    <xf numFmtId="0" fontId="0" fillId="0" borderId="5" xfId="0" applyBorder="1"/>
    <xf numFmtId="0" fontId="13" fillId="0" borderId="1" xfId="0" applyFont="1" applyBorder="1" applyAlignment="1">
      <alignment horizontal="center" vertical="center"/>
    </xf>
    <xf numFmtId="0" fontId="15" fillId="3"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3" fillId="0" borderId="0" xfId="0" applyFont="1" applyAlignment="1">
      <alignment horizontal="left" vertical="top"/>
    </xf>
    <xf numFmtId="0" fontId="0" fillId="0" borderId="0" xfId="0"/>
    <xf numFmtId="0" fontId="0" fillId="0" borderId="0" xfId="0" applyAlignment="1">
      <alignment horizontal="center"/>
    </xf>
    <xf numFmtId="0" fontId="14" fillId="0" borderId="0" xfId="0" applyFont="1" applyAlignment="1">
      <alignment horizontal="center" vertical="center"/>
    </xf>
    <xf numFmtId="0" fontId="13" fillId="0" borderId="0" xfId="0" applyFont="1" applyAlignment="1">
      <alignment horizontal="center"/>
    </xf>
    <xf numFmtId="0" fontId="25" fillId="0" borderId="1" xfId="0" applyFont="1" applyBorder="1" applyAlignment="1">
      <alignment horizontal="center" vertical="center" wrapText="1"/>
    </xf>
    <xf numFmtId="0" fontId="24" fillId="0" borderId="4" xfId="0" applyFont="1" applyBorder="1" applyAlignment="1">
      <alignment horizontal="center" vertical="center"/>
    </xf>
    <xf numFmtId="0" fontId="24" fillId="0" borderId="5" xfId="0" applyFont="1" applyBorder="1" applyAlignment="1">
      <alignment horizontal="center" vertical="center"/>
    </xf>
    <xf numFmtId="0" fontId="13" fillId="2" borderId="1" xfId="0" applyFont="1" applyFill="1" applyBorder="1" applyAlignment="1">
      <alignment horizontal="right" vertical="center"/>
    </xf>
    <xf numFmtId="0" fontId="13" fillId="0" borderId="1" xfId="0" applyFont="1" applyBorder="1" applyAlignment="1">
      <alignment horizontal="center"/>
    </xf>
    <xf numFmtId="0" fontId="7" fillId="0" borderId="2" xfId="0" applyFont="1" applyBorder="1" applyAlignment="1">
      <alignment horizontal="left" vertical="top" wrapText="1"/>
    </xf>
    <xf numFmtId="0" fontId="0" fillId="0" borderId="2" xfId="0" applyBorder="1"/>
    <xf numFmtId="0" fontId="0" fillId="0" borderId="0" xfId="0" applyAlignment="1">
      <alignment horizontal="left" vertical="center"/>
    </xf>
    <xf numFmtId="0" fontId="7" fillId="0" borderId="1" xfId="0" applyFont="1" applyBorder="1" applyAlignment="1">
      <alignment horizontal="left" vertical="center" wrapText="1"/>
    </xf>
    <xf numFmtId="0" fontId="6" fillId="5" borderId="1" xfId="0" applyFont="1" applyFill="1" applyBorder="1" applyAlignment="1">
      <alignment horizontal="left" vertical="center"/>
    </xf>
    <xf numFmtId="0" fontId="0" fillId="0" borderId="6" xfId="0" applyBorder="1"/>
    <xf numFmtId="0" fontId="0" fillId="0" borderId="9" xfId="0" applyBorder="1"/>
    <xf numFmtId="0" fontId="0" fillId="0" borderId="10" xfId="0" applyBorder="1"/>
    <xf numFmtId="0" fontId="8" fillId="0" borderId="1" xfId="0" applyFont="1" applyBorder="1" applyAlignment="1">
      <alignment horizontal="left" vertical="center" wrapText="1"/>
    </xf>
    <xf numFmtId="0" fontId="0" fillId="0" borderId="7" xfId="0" applyBorder="1"/>
    <xf numFmtId="0" fontId="0" fillId="0" borderId="8" xfId="0" applyBorder="1"/>
    <xf numFmtId="0" fontId="7" fillId="0" borderId="1" xfId="0" applyFont="1" applyBorder="1" applyAlignment="1">
      <alignment horizontal="left" vertical="center"/>
    </xf>
    <xf numFmtId="0" fontId="6" fillId="4" borderId="1" xfId="0" applyFont="1" applyFill="1" applyBorder="1" applyAlignment="1">
      <alignment horizontal="left" vertical="center"/>
    </xf>
    <xf numFmtId="0" fontId="6" fillId="4" borderId="1" xfId="0" applyFont="1" applyFill="1" applyBorder="1" applyAlignment="1">
      <alignment horizontal="left"/>
    </xf>
    <xf numFmtId="0" fontId="10" fillId="0" borderId="1" xfId="0" applyFont="1" applyBorder="1" applyAlignment="1">
      <alignment horizontal="left" vertical="center" wrapText="1"/>
    </xf>
    <xf numFmtId="0" fontId="6" fillId="4" borderId="1" xfId="0" applyFont="1" applyFill="1" applyBorder="1" applyAlignment="1">
      <alignment horizontal="center" vertical="center"/>
    </xf>
    <xf numFmtId="0" fontId="6" fillId="6" borderId="1" xfId="0" applyFont="1" applyFill="1" applyBorder="1" applyAlignment="1">
      <alignment horizontal="left"/>
    </xf>
    <xf numFmtId="0" fontId="19" fillId="7" borderId="1" xfId="0" applyFont="1" applyFill="1" applyBorder="1" applyAlignment="1">
      <alignment horizontal="left" vertical="center" wrapText="1"/>
    </xf>
    <xf numFmtId="0" fontId="2" fillId="0" borderId="4" xfId="0" applyFont="1" applyBorder="1"/>
    <xf numFmtId="0" fontId="2" fillId="0" borderId="5" xfId="0" applyFont="1" applyBorder="1"/>
    <xf numFmtId="0" fontId="9" fillId="4" borderId="1" xfId="0" applyFont="1" applyFill="1" applyBorder="1" applyAlignment="1">
      <alignment horizontal="center" vertical="center" wrapText="1"/>
    </xf>
    <xf numFmtId="0" fontId="9" fillId="7" borderId="1" xfId="0" applyFont="1" applyFill="1" applyBorder="1" applyAlignment="1">
      <alignment horizontal="left" vertical="center" wrapText="1"/>
    </xf>
    <xf numFmtId="0" fontId="0" fillId="0" borderId="4" xfId="0" applyBorder="1" applyAlignment="1">
      <alignment vertical="center"/>
    </xf>
    <xf numFmtId="0" fontId="0" fillId="0" borderId="5" xfId="0" applyBorder="1" applyAlignment="1">
      <alignment vertical="center"/>
    </xf>
    <xf numFmtId="0" fontId="19" fillId="7" borderId="13" xfId="0" applyFont="1" applyFill="1" applyBorder="1" applyAlignment="1">
      <alignment horizontal="left" vertical="center" wrapText="1"/>
    </xf>
    <xf numFmtId="0" fontId="19" fillId="7" borderId="4" xfId="0" applyFont="1" applyFill="1" applyBorder="1" applyAlignment="1">
      <alignment horizontal="left" vertical="center" wrapText="1"/>
    </xf>
    <xf numFmtId="0" fontId="19" fillId="7" borderId="5" xfId="0" applyFont="1" applyFill="1" applyBorder="1" applyAlignment="1">
      <alignment horizontal="left" vertical="center" wrapText="1"/>
    </xf>
    <xf numFmtId="0" fontId="17" fillId="0" borderId="1" xfId="0" applyFont="1" applyBorder="1" applyAlignment="1">
      <alignment vertical="center"/>
    </xf>
    <xf numFmtId="0" fontId="0" fillId="0" borderId="12" xfId="0" applyBorder="1"/>
    <xf numFmtId="0" fontId="17" fillId="9" borderId="1" xfId="0" applyFont="1" applyFill="1" applyBorder="1" applyAlignment="1">
      <alignment vertical="center" wrapText="1"/>
    </xf>
    <xf numFmtId="0" fontId="22" fillId="9" borderId="1" xfId="0" applyFont="1" applyFill="1" applyBorder="1" applyAlignment="1">
      <alignment vertical="center" wrapText="1"/>
    </xf>
    <xf numFmtId="0" fontId="23" fillId="0" borderId="12" xfId="0" applyFont="1" applyBorder="1"/>
    <xf numFmtId="0" fontId="17" fillId="9" borderId="1" xfId="0" applyFont="1" applyFill="1" applyBorder="1" applyAlignment="1">
      <alignment horizontal="center" vertical="center"/>
    </xf>
    <xf numFmtId="0" fontId="18" fillId="9" borderId="1" xfId="0" applyFont="1" applyFill="1" applyBorder="1" applyAlignment="1">
      <alignment horizontal="center" vertical="center"/>
    </xf>
    <xf numFmtId="0" fontId="17" fillId="9" borderId="1" xfId="0" applyFont="1" applyFill="1" applyBorder="1" applyAlignment="1">
      <alignment vertical="center"/>
    </xf>
    <xf numFmtId="0" fontId="0" fillId="0" borderId="11" xfId="0" applyBorder="1"/>
    <xf numFmtId="0" fontId="16" fillId="8" borderId="1" xfId="0" applyFont="1" applyFill="1" applyBorder="1" applyAlignment="1">
      <alignment vertical="center"/>
    </xf>
    <xf numFmtId="0" fontId="22" fillId="9" borderId="1" xfId="0" applyFont="1" applyFill="1" applyBorder="1" applyAlignment="1">
      <alignment vertical="center"/>
    </xf>
    <xf numFmtId="0" fontId="16" fillId="8" borderId="1" xfId="0" applyFont="1" applyFill="1" applyBorder="1" applyAlignment="1">
      <alignment vertical="center" wrapText="1"/>
    </xf>
    <xf numFmtId="0" fontId="17" fillId="0" borderId="1" xfId="0" applyFont="1" applyBorder="1" applyAlignment="1">
      <alignment horizontal="center" vertical="center"/>
    </xf>
    <xf numFmtId="0" fontId="22" fillId="0" borderId="1" xfId="0" applyFont="1" applyBorder="1" applyAlignment="1">
      <alignment vertical="center" wrapText="1"/>
    </xf>
    <xf numFmtId="0" fontId="17" fillId="0" borderId="1" xfId="0" applyFont="1" applyBorder="1" applyAlignment="1">
      <alignment horizontal="left" vertical="center" wrapText="1"/>
    </xf>
    <xf numFmtId="0" fontId="17" fillId="0" borderId="1" xfId="0" applyFont="1" applyBorder="1" applyAlignment="1">
      <alignment vertical="center" wrapText="1"/>
    </xf>
    <xf numFmtId="0" fontId="16" fillId="8"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DE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D9D9D9"/>
      <rgbColor rgb="FFFFFF99"/>
      <rgbColor rgb="FF9DC3E6"/>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84600</xdr:colOff>
      <xdr:row>2</xdr:row>
      <xdr:rowOff>137520</xdr:rowOff>
    </xdr:from>
    <xdr:to>
      <xdr:col>8</xdr:col>
      <xdr:colOff>1063080</xdr:colOff>
      <xdr:row>3</xdr:row>
      <xdr:rowOff>251220</xdr:rowOff>
    </xdr:to>
    <xdr:pic>
      <xdr:nvPicPr>
        <xdr:cNvPr id="2" name="Picture 3">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6975000" y="556560"/>
          <a:ext cx="1934280" cy="464400"/>
        </a:xfrm>
        <a:prstGeom prst="rect">
          <a:avLst/>
        </a:prstGeom>
        <a:noFill/>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41"/>
  <sheetViews>
    <sheetView tabSelected="1" view="pageBreakPreview" topLeftCell="A19" zoomScale="70" zoomScaleNormal="70" zoomScaleSheetLayoutView="70" zoomScalePageLayoutView="55" workbookViewId="0">
      <selection activeCell="C96" sqref="C96"/>
    </sheetView>
  </sheetViews>
  <sheetFormatPr defaultColWidth="8.6640625" defaultRowHeight="14.4" x14ac:dyDescent="0.3"/>
  <cols>
    <col min="2" max="2" width="17.5546875" customWidth="1"/>
    <col min="3" max="3" width="48.6640625" customWidth="1"/>
    <col min="4" max="4" width="57.33203125" customWidth="1"/>
    <col min="5" max="5" width="34.5546875" customWidth="1"/>
    <col min="6" max="6" width="47.6640625" style="1" customWidth="1"/>
  </cols>
  <sheetData>
    <row r="1" spans="1:6" ht="27.6" customHeight="1" x14ac:dyDescent="0.45">
      <c r="A1" s="2"/>
      <c r="B1" s="2"/>
      <c r="C1" s="2"/>
      <c r="D1" s="2"/>
      <c r="E1" s="2"/>
      <c r="F1" s="3"/>
    </row>
    <row r="2" spans="1:6" ht="27.6" customHeight="1" x14ac:dyDescent="0.45">
      <c r="A2" s="2"/>
      <c r="B2" s="2"/>
      <c r="C2" s="2"/>
      <c r="D2" s="2"/>
      <c r="E2" s="2"/>
      <c r="F2" s="3"/>
    </row>
    <row r="3" spans="1:6" ht="15.75" customHeight="1" x14ac:dyDescent="0.45">
      <c r="A3" s="2"/>
      <c r="B3" s="2"/>
      <c r="C3" s="2"/>
      <c r="D3" s="2"/>
      <c r="E3" s="2"/>
      <c r="F3" s="3"/>
    </row>
    <row r="4" spans="1:6" ht="15.75" customHeight="1" x14ac:dyDescent="0.45">
      <c r="A4" s="2"/>
      <c r="B4" s="2"/>
      <c r="C4" s="2"/>
      <c r="D4" s="2"/>
      <c r="E4" s="2"/>
      <c r="F4" s="3"/>
    </row>
    <row r="5" spans="1:6" ht="27" customHeight="1" x14ac:dyDescent="0.55000000000000004">
      <c r="A5" s="10"/>
      <c r="B5" s="10"/>
      <c r="C5" s="10"/>
      <c r="D5" s="10"/>
      <c r="E5" s="10"/>
      <c r="F5" s="11"/>
    </row>
    <row r="6" spans="1:6" ht="27" customHeight="1" x14ac:dyDescent="0.55000000000000004">
      <c r="A6" s="10"/>
      <c r="B6" s="10"/>
      <c r="C6" s="10"/>
      <c r="D6" s="10"/>
      <c r="E6" s="10"/>
      <c r="F6" s="11"/>
    </row>
    <row r="7" spans="1:6" ht="27.75" customHeight="1" x14ac:dyDescent="0.55000000000000004">
      <c r="A7" s="59" t="s">
        <v>0</v>
      </c>
      <c r="B7" s="56"/>
      <c r="C7" s="56"/>
      <c r="D7" s="56"/>
      <c r="E7" s="56"/>
      <c r="F7" s="57"/>
    </row>
    <row r="8" spans="1:6" ht="15" customHeight="1" x14ac:dyDescent="0.3">
      <c r="A8" s="58" t="s">
        <v>1</v>
      </c>
      <c r="B8" s="56"/>
      <c r="C8" s="56"/>
      <c r="D8" s="56"/>
      <c r="E8" s="56"/>
      <c r="F8" s="57"/>
    </row>
    <row r="9" spans="1:6" ht="15" customHeight="1" x14ac:dyDescent="0.3">
      <c r="A9" s="56"/>
      <c r="B9" s="56"/>
      <c r="C9" s="56"/>
      <c r="D9" s="56"/>
      <c r="E9" s="56"/>
      <c r="F9" s="57"/>
    </row>
    <row r="10" spans="1:6" ht="30" customHeight="1" x14ac:dyDescent="0.55000000000000004">
      <c r="A10" s="10"/>
      <c r="B10" s="10"/>
      <c r="C10" s="10"/>
      <c r="D10" s="10"/>
      <c r="E10" s="10"/>
      <c r="F10" s="12"/>
    </row>
    <row r="11" spans="1:6" ht="30" customHeight="1" x14ac:dyDescent="0.55000000000000004">
      <c r="A11" s="63" t="s">
        <v>2</v>
      </c>
      <c r="B11" s="50"/>
      <c r="C11" s="51"/>
      <c r="D11" s="64" t="s">
        <v>0</v>
      </c>
      <c r="E11" s="50"/>
      <c r="F11" s="51"/>
    </row>
    <row r="12" spans="1:6" ht="30" customHeight="1" x14ac:dyDescent="0.3">
      <c r="A12" s="63" t="s">
        <v>3</v>
      </c>
      <c r="B12" s="50"/>
      <c r="C12" s="51"/>
      <c r="D12" s="52" t="s">
        <v>507</v>
      </c>
      <c r="E12" s="50"/>
      <c r="F12" s="51"/>
    </row>
    <row r="13" spans="1:6" ht="30" customHeight="1" x14ac:dyDescent="0.55000000000000004">
      <c r="A13" s="10"/>
      <c r="B13" s="10"/>
      <c r="C13" s="10"/>
      <c r="D13" s="10"/>
      <c r="E13" s="10"/>
      <c r="F13" s="12"/>
    </row>
    <row r="14" spans="1:6" ht="30" customHeight="1" x14ac:dyDescent="0.55000000000000004">
      <c r="A14" s="10"/>
      <c r="B14" s="10"/>
      <c r="C14" s="10"/>
      <c r="D14" s="10"/>
      <c r="E14" s="10"/>
      <c r="F14" s="12"/>
    </row>
    <row r="15" spans="1:6" ht="30" customHeight="1" x14ac:dyDescent="0.55000000000000004">
      <c r="A15" s="10"/>
      <c r="B15" s="10"/>
      <c r="C15" s="10"/>
      <c r="D15" s="10"/>
      <c r="E15" s="10"/>
      <c r="F15" s="12"/>
    </row>
    <row r="16" spans="1:6" ht="30" customHeight="1" x14ac:dyDescent="0.55000000000000004">
      <c r="A16" s="10"/>
      <c r="B16" s="10"/>
      <c r="C16" s="10"/>
      <c r="D16" s="10"/>
      <c r="E16" s="10"/>
      <c r="F16" s="10"/>
    </row>
    <row r="17" spans="1:6" ht="30" customHeight="1" x14ac:dyDescent="0.55000000000000004">
      <c r="A17" s="10"/>
      <c r="B17" s="13"/>
      <c r="C17" s="13"/>
      <c r="D17" s="13"/>
      <c r="E17" s="12"/>
      <c r="F17" s="12"/>
    </row>
    <row r="18" spans="1:6" ht="30" customHeight="1" x14ac:dyDescent="0.3">
      <c r="A18" s="55" t="s">
        <v>4</v>
      </c>
      <c r="B18" s="56"/>
      <c r="C18" s="56"/>
      <c r="D18" s="56"/>
      <c r="E18" s="56"/>
      <c r="F18" s="57"/>
    </row>
    <row r="19" spans="1:6" s="4" customFormat="1" ht="19.5" customHeight="1" x14ac:dyDescent="0.3">
      <c r="A19" s="53" t="s">
        <v>5</v>
      </c>
      <c r="B19" s="51"/>
      <c r="C19" s="53" t="s">
        <v>6</v>
      </c>
      <c r="D19" s="51"/>
      <c r="E19" s="19" t="s">
        <v>7</v>
      </c>
      <c r="F19" s="19" t="s">
        <v>8</v>
      </c>
    </row>
    <row r="20" spans="1:6" ht="32.25" customHeight="1" x14ac:dyDescent="0.3">
      <c r="A20" s="49" t="s">
        <v>9</v>
      </c>
      <c r="B20" s="51"/>
      <c r="C20" s="49" t="s">
        <v>10</v>
      </c>
      <c r="D20" s="51"/>
      <c r="E20" s="16" t="s">
        <v>11</v>
      </c>
      <c r="F20" s="14">
        <v>46287</v>
      </c>
    </row>
    <row r="21" spans="1:6" ht="30" customHeight="1" x14ac:dyDescent="0.3">
      <c r="A21" s="15"/>
      <c r="B21" s="15"/>
      <c r="C21" s="15"/>
      <c r="D21" s="15"/>
      <c r="E21" s="15"/>
      <c r="F21" s="15"/>
    </row>
    <row r="22" spans="1:6" ht="30" customHeight="1" x14ac:dyDescent="0.3">
      <c r="A22" s="15"/>
      <c r="B22" s="15"/>
      <c r="C22" s="15"/>
      <c r="D22" s="15"/>
      <c r="E22" s="15"/>
      <c r="F22" s="15"/>
    </row>
    <row r="23" spans="1:6" ht="30" customHeight="1" x14ac:dyDescent="0.3">
      <c r="A23" s="15"/>
      <c r="B23" s="15"/>
      <c r="C23" s="15"/>
      <c r="D23" s="15"/>
      <c r="E23" s="15"/>
      <c r="F23" s="15"/>
    </row>
    <row r="24" spans="1:6" ht="30" customHeight="1" x14ac:dyDescent="0.3">
      <c r="A24" s="15"/>
      <c r="B24" s="15"/>
      <c r="C24" s="15"/>
      <c r="D24" s="15"/>
      <c r="E24" s="15"/>
      <c r="F24" s="15"/>
    </row>
    <row r="25" spans="1:6" ht="30" customHeight="1" x14ac:dyDescent="0.3">
      <c r="A25" s="55" t="s">
        <v>12</v>
      </c>
      <c r="B25" s="56"/>
      <c r="C25" s="56"/>
      <c r="D25" s="56"/>
      <c r="E25" s="56"/>
      <c r="F25" s="57"/>
    </row>
    <row r="26" spans="1:6" ht="30" customHeight="1" x14ac:dyDescent="0.3">
      <c r="A26" s="53" t="s">
        <v>13</v>
      </c>
      <c r="B26" s="50"/>
      <c r="C26" s="51"/>
      <c r="D26" s="53" t="s">
        <v>14</v>
      </c>
      <c r="E26" s="50"/>
      <c r="F26" s="51"/>
    </row>
    <row r="27" spans="1:6" ht="30" customHeight="1" x14ac:dyDescent="0.3">
      <c r="A27" s="54" t="s">
        <v>15</v>
      </c>
      <c r="B27" s="50"/>
      <c r="C27" s="51"/>
      <c r="D27" s="49" t="s">
        <v>16</v>
      </c>
      <c r="E27" s="50"/>
      <c r="F27" s="51"/>
    </row>
    <row r="28" spans="1:6" ht="28.5" customHeight="1" x14ac:dyDescent="0.3">
      <c r="A28" s="54" t="s">
        <v>17</v>
      </c>
      <c r="B28" s="50"/>
      <c r="C28" s="51"/>
      <c r="D28" s="49" t="s">
        <v>18</v>
      </c>
      <c r="E28" s="50"/>
      <c r="F28" s="51"/>
    </row>
    <row r="29" spans="1:6" x14ac:dyDescent="0.3">
      <c r="A29" s="17"/>
      <c r="B29" s="17"/>
      <c r="C29" s="17"/>
      <c r="D29" s="17"/>
      <c r="E29" s="17"/>
      <c r="F29" s="18"/>
    </row>
    <row r="30" spans="1:6" x14ac:dyDescent="0.3">
      <c r="A30" s="17"/>
      <c r="B30" s="17"/>
      <c r="C30" s="17"/>
      <c r="D30" s="17"/>
      <c r="E30" s="17"/>
      <c r="F30" s="18"/>
    </row>
    <row r="31" spans="1:6" x14ac:dyDescent="0.3">
      <c r="A31" s="17"/>
      <c r="B31" s="17"/>
      <c r="C31" s="17"/>
      <c r="D31" s="17"/>
      <c r="E31" s="17"/>
      <c r="F31" s="18"/>
    </row>
    <row r="32" spans="1:6" x14ac:dyDescent="0.3">
      <c r="A32" s="17"/>
      <c r="B32" s="17"/>
      <c r="C32" s="17"/>
      <c r="D32" s="17"/>
      <c r="E32" s="17"/>
      <c r="F32" s="18"/>
    </row>
    <row r="33" spans="1:6" x14ac:dyDescent="0.3">
      <c r="A33" s="17"/>
      <c r="B33" s="17"/>
      <c r="C33" s="17"/>
      <c r="D33" s="17"/>
      <c r="E33" s="17"/>
      <c r="F33" s="18"/>
    </row>
    <row r="34" spans="1:6" ht="27.75" customHeight="1" x14ac:dyDescent="0.3">
      <c r="A34" s="55" t="s">
        <v>19</v>
      </c>
      <c r="B34" s="56"/>
      <c r="C34" s="56"/>
      <c r="D34" s="56"/>
      <c r="E34" s="56"/>
      <c r="F34" s="57"/>
    </row>
    <row r="35" spans="1:6" ht="30.75" customHeight="1" x14ac:dyDescent="0.3">
      <c r="A35" s="53" t="s">
        <v>20</v>
      </c>
      <c r="B35" s="50"/>
      <c r="C35" s="51"/>
      <c r="D35" s="53" t="s">
        <v>21</v>
      </c>
      <c r="E35" s="50"/>
      <c r="F35" s="51"/>
    </row>
    <row r="36" spans="1:6" ht="24" customHeight="1" x14ac:dyDescent="0.3">
      <c r="A36" s="60" t="s">
        <v>29</v>
      </c>
      <c r="B36" s="61"/>
      <c r="C36" s="62"/>
      <c r="D36" s="60" t="s">
        <v>29</v>
      </c>
      <c r="E36" s="61"/>
      <c r="F36" s="62"/>
    </row>
    <row r="37" spans="1:6" x14ac:dyDescent="0.3">
      <c r="A37" s="17"/>
      <c r="B37" s="17"/>
      <c r="C37" s="17"/>
      <c r="D37" s="17"/>
      <c r="E37" s="17"/>
      <c r="F37" s="18"/>
    </row>
    <row r="41" spans="1:6" ht="37.5" customHeight="1" x14ac:dyDescent="0.3"/>
  </sheetData>
  <mergeCells count="23">
    <mergeCell ref="A8:F9"/>
    <mergeCell ref="A7:F7"/>
    <mergeCell ref="A25:F25"/>
    <mergeCell ref="A20:B20"/>
    <mergeCell ref="A36:C36"/>
    <mergeCell ref="A11:C11"/>
    <mergeCell ref="A19:B19"/>
    <mergeCell ref="C19:D19"/>
    <mergeCell ref="D36:F36"/>
    <mergeCell ref="D11:F11"/>
    <mergeCell ref="D27:F27"/>
    <mergeCell ref="A27:C27"/>
    <mergeCell ref="A18:F18"/>
    <mergeCell ref="A12:C12"/>
    <mergeCell ref="A26:C26"/>
    <mergeCell ref="C20:D20"/>
    <mergeCell ref="D28:F28"/>
    <mergeCell ref="D12:F12"/>
    <mergeCell ref="A35:C35"/>
    <mergeCell ref="A28:C28"/>
    <mergeCell ref="D35:F35"/>
    <mergeCell ref="D26:F26"/>
    <mergeCell ref="A34:F34"/>
  </mergeCells>
  <pageMargins left="0.70833333333333304" right="0.70833333333333304" top="1.007575757575758" bottom="0.63055555555555598" header="0.31527777777777799" footer="0.31527777777777799"/>
  <pageSetup paperSize="9" scale="40" orientation="portrait" horizontalDpi="300" verticalDpi="300" r:id="rId1"/>
  <headerFooter>
    <oddHeader>&amp;L&amp;22&amp;G&amp;R&amp;22 ProVu Vista Display
Software Integration Test Request
Document ID : GTD-001263/A
Date : 22-Sep-2026</oddHeader>
    <oddFooter>&amp;L&amp;22GOP 004, Design and Development 
GOP004-F14 Issue No: 2&amp;R&amp;22 &amp;P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25"/>
  <sheetViews>
    <sheetView view="pageBreakPreview" topLeftCell="A16" zoomScaleNormal="100" zoomScaleSheetLayoutView="100" zoomScalePageLayoutView="85" workbookViewId="0">
      <selection activeCell="A23" sqref="A23:I25"/>
    </sheetView>
  </sheetViews>
  <sheetFormatPr defaultColWidth="8.6640625" defaultRowHeight="14.4" x14ac:dyDescent="0.3"/>
  <cols>
    <col min="1" max="1" width="12.6640625" style="20" customWidth="1"/>
    <col min="2" max="3" width="8.6640625" style="20" customWidth="1"/>
    <col min="4" max="4" width="21.44140625" style="20" customWidth="1"/>
    <col min="5" max="5" width="20.6640625" style="20" customWidth="1"/>
    <col min="6" max="6" width="8.6640625" style="20" customWidth="1"/>
    <col min="7" max="7" width="16.44140625" style="20" customWidth="1"/>
    <col min="8" max="8" width="13.5546875" style="20" customWidth="1"/>
    <col min="9" max="9" width="17.5546875" style="20" customWidth="1"/>
    <col min="10" max="11" width="8.6640625" style="20" customWidth="1"/>
    <col min="12" max="16384" width="8.6640625" style="20"/>
  </cols>
  <sheetData>
    <row r="1" spans="1:9" ht="18" customHeight="1" x14ac:dyDescent="0.3">
      <c r="A1" s="80" t="s">
        <v>508</v>
      </c>
      <c r="B1" s="50"/>
      <c r="C1" s="50"/>
      <c r="D1" s="50"/>
      <c r="E1" s="50"/>
      <c r="F1" s="50"/>
      <c r="G1" s="50"/>
      <c r="H1" s="50"/>
      <c r="I1" s="51"/>
    </row>
    <row r="2" spans="1:9" ht="15" customHeight="1" x14ac:dyDescent="0.3">
      <c r="A2" s="77" t="s">
        <v>22</v>
      </c>
      <c r="B2" s="50"/>
      <c r="C2" s="50"/>
      <c r="D2" s="50"/>
      <c r="E2" s="50"/>
      <c r="F2" s="50"/>
      <c r="G2" s="50"/>
      <c r="H2" s="50"/>
      <c r="I2" s="51"/>
    </row>
    <row r="3" spans="1:9" ht="27" customHeight="1" x14ac:dyDescent="0.3">
      <c r="A3" s="5" t="s">
        <v>7</v>
      </c>
      <c r="B3" s="68" t="s">
        <v>11</v>
      </c>
      <c r="C3" s="50"/>
      <c r="D3" s="50"/>
      <c r="E3" s="51"/>
      <c r="F3" s="73"/>
      <c r="G3" s="70"/>
      <c r="H3" s="69"/>
      <c r="I3" s="70"/>
    </row>
    <row r="4" spans="1:9" ht="28.5" customHeight="1" x14ac:dyDescent="0.3">
      <c r="A4" s="5" t="s">
        <v>23</v>
      </c>
      <c r="B4" s="76" t="s">
        <v>9</v>
      </c>
      <c r="C4" s="50"/>
      <c r="D4" s="50"/>
      <c r="E4" s="51"/>
      <c r="F4" s="74"/>
      <c r="G4" s="75"/>
      <c r="H4" s="71"/>
      <c r="I4" s="72"/>
    </row>
    <row r="5" spans="1:9" ht="29.25" customHeight="1" x14ac:dyDescent="0.3">
      <c r="A5" s="5" t="s">
        <v>24</v>
      </c>
      <c r="B5" s="76" t="s">
        <v>17</v>
      </c>
      <c r="C5" s="50"/>
      <c r="D5" s="50"/>
      <c r="E5" s="51"/>
      <c r="F5" s="71"/>
      <c r="G5" s="72"/>
      <c r="H5" s="21" t="s">
        <v>8</v>
      </c>
      <c r="I5" s="6">
        <v>46287</v>
      </c>
    </row>
    <row r="6" spans="1:9" ht="15" customHeight="1" x14ac:dyDescent="0.3">
      <c r="A6" s="81" t="s">
        <v>25</v>
      </c>
      <c r="B6" s="50"/>
      <c r="C6" s="50"/>
      <c r="D6" s="50"/>
      <c r="E6" s="50"/>
      <c r="F6" s="50"/>
      <c r="G6" s="50"/>
      <c r="H6" s="50"/>
      <c r="I6" s="51"/>
    </row>
    <row r="7" spans="1:9" ht="66" customHeight="1" x14ac:dyDescent="0.3">
      <c r="A7" s="68" t="s">
        <v>504</v>
      </c>
      <c r="B7" s="50"/>
      <c r="C7" s="50"/>
      <c r="D7" s="50"/>
      <c r="E7" s="50"/>
      <c r="F7" s="50"/>
      <c r="G7" s="50"/>
      <c r="H7" s="50"/>
      <c r="I7" s="51"/>
    </row>
    <row r="8" spans="1:9" ht="15" customHeight="1" x14ac:dyDescent="0.3">
      <c r="A8" s="77" t="s">
        <v>26</v>
      </c>
      <c r="B8" s="50"/>
      <c r="C8" s="50"/>
      <c r="D8" s="50"/>
      <c r="E8" s="50"/>
      <c r="F8" s="50"/>
      <c r="G8" s="50"/>
      <c r="H8" s="50"/>
      <c r="I8" s="51"/>
    </row>
    <row r="9" spans="1:9" ht="36.6" customHeight="1" x14ac:dyDescent="0.3">
      <c r="A9" s="68" t="s">
        <v>489</v>
      </c>
      <c r="B9" s="50"/>
      <c r="C9" s="50"/>
      <c r="D9" s="50"/>
      <c r="E9" s="50"/>
      <c r="F9" s="50"/>
      <c r="G9" s="50"/>
      <c r="H9" s="50"/>
      <c r="I9" s="51"/>
    </row>
    <row r="10" spans="1:9" ht="15" customHeight="1" x14ac:dyDescent="0.3">
      <c r="A10" s="77" t="s">
        <v>27</v>
      </c>
      <c r="B10" s="50"/>
      <c r="C10" s="50"/>
      <c r="D10" s="50"/>
      <c r="E10" s="50"/>
      <c r="F10" s="50"/>
      <c r="G10" s="50"/>
      <c r="H10" s="50"/>
      <c r="I10" s="51"/>
    </row>
    <row r="11" spans="1:9" ht="40.200000000000003" customHeight="1" x14ac:dyDescent="0.3">
      <c r="A11" s="68" t="s">
        <v>29</v>
      </c>
      <c r="B11" s="50"/>
      <c r="C11" s="50"/>
      <c r="D11" s="50"/>
      <c r="E11" s="50"/>
      <c r="F11" s="50"/>
      <c r="G11" s="50"/>
      <c r="H11" s="50"/>
      <c r="I11" s="51"/>
    </row>
    <row r="12" spans="1:9" ht="15" customHeight="1" x14ac:dyDescent="0.3">
      <c r="A12" s="77" t="s">
        <v>28</v>
      </c>
      <c r="B12" s="50"/>
      <c r="C12" s="50"/>
      <c r="D12" s="50"/>
      <c r="E12" s="50"/>
      <c r="F12" s="50"/>
      <c r="G12" s="50"/>
      <c r="H12" s="50"/>
      <c r="I12" s="51"/>
    </row>
    <row r="13" spans="1:9" ht="37.950000000000003" customHeight="1" x14ac:dyDescent="0.3">
      <c r="A13" s="68" t="s">
        <v>505</v>
      </c>
      <c r="B13" s="50"/>
      <c r="C13" s="50"/>
      <c r="D13" s="50"/>
      <c r="E13" s="50"/>
      <c r="F13" s="50"/>
      <c r="G13" s="50"/>
      <c r="H13" s="50"/>
      <c r="I13" s="51"/>
    </row>
    <row r="14" spans="1:9" ht="16.5" customHeight="1" x14ac:dyDescent="0.3">
      <c r="A14" s="77" t="s">
        <v>30</v>
      </c>
      <c r="B14" s="50"/>
      <c r="C14" s="50"/>
      <c r="D14" s="50"/>
      <c r="E14" s="50"/>
      <c r="F14" s="50"/>
      <c r="G14" s="50"/>
      <c r="H14" s="50"/>
      <c r="I14" s="51"/>
    </row>
    <row r="15" spans="1:9" ht="37.5" customHeight="1" x14ac:dyDescent="0.3">
      <c r="A15" s="68" t="s">
        <v>29</v>
      </c>
      <c r="B15" s="50"/>
      <c r="C15" s="50"/>
      <c r="D15" s="50"/>
      <c r="E15" s="50"/>
      <c r="F15" s="50"/>
      <c r="G15" s="50"/>
      <c r="H15" s="50"/>
      <c r="I15" s="51"/>
    </row>
    <row r="16" spans="1:9" ht="29.25" customHeight="1" x14ac:dyDescent="0.3">
      <c r="A16" s="77" t="s">
        <v>31</v>
      </c>
      <c r="B16" s="50"/>
      <c r="C16" s="50"/>
      <c r="D16" s="50"/>
      <c r="E16" s="50"/>
      <c r="F16" s="50"/>
      <c r="G16" s="50"/>
      <c r="H16" s="50"/>
      <c r="I16" s="51"/>
    </row>
    <row r="17" spans="1:9" ht="52.2" customHeight="1" x14ac:dyDescent="0.3">
      <c r="A17" s="68" t="s">
        <v>490</v>
      </c>
      <c r="B17" s="50"/>
      <c r="C17" s="50"/>
      <c r="D17" s="50"/>
      <c r="E17" s="50"/>
      <c r="F17" s="50"/>
      <c r="G17" s="50"/>
      <c r="H17" s="50"/>
      <c r="I17" s="51"/>
    </row>
    <row r="18" spans="1:9" s="7" customFormat="1" ht="15" customHeight="1" x14ac:dyDescent="0.3">
      <c r="A18" s="78" t="s">
        <v>32</v>
      </c>
      <c r="B18" s="50"/>
      <c r="C18" s="50"/>
      <c r="D18" s="50"/>
      <c r="E18" s="50"/>
      <c r="F18" s="50"/>
      <c r="G18" s="50"/>
      <c r="H18" s="50"/>
      <c r="I18" s="51"/>
    </row>
    <row r="19" spans="1:9" s="7" customFormat="1" ht="49.2" customHeight="1" x14ac:dyDescent="0.3">
      <c r="A19" s="73" t="s">
        <v>33</v>
      </c>
      <c r="B19" s="50"/>
      <c r="C19" s="50"/>
      <c r="D19" s="50"/>
      <c r="E19" s="50"/>
      <c r="F19" s="50"/>
      <c r="G19" s="50"/>
      <c r="H19" s="50"/>
      <c r="I19" s="51"/>
    </row>
    <row r="20" spans="1:9" ht="15" customHeight="1" x14ac:dyDescent="0.3">
      <c r="A20" s="77" t="s">
        <v>34</v>
      </c>
      <c r="B20" s="50"/>
      <c r="C20" s="50"/>
      <c r="D20" s="50"/>
      <c r="E20" s="50"/>
      <c r="F20" s="50"/>
      <c r="G20" s="50"/>
      <c r="H20" s="50"/>
      <c r="I20" s="51"/>
    </row>
    <row r="21" spans="1:9" ht="21.6" customHeight="1" x14ac:dyDescent="0.3">
      <c r="A21" s="79" t="s">
        <v>35</v>
      </c>
      <c r="B21" s="50"/>
      <c r="C21" s="50"/>
      <c r="D21" s="50"/>
      <c r="E21" s="50"/>
      <c r="F21" s="50"/>
      <c r="G21" s="50"/>
      <c r="H21" s="50"/>
      <c r="I21" s="51"/>
    </row>
    <row r="22" spans="1:9" ht="15" customHeight="1" x14ac:dyDescent="0.3">
      <c r="A22" s="77" t="s">
        <v>36</v>
      </c>
      <c r="B22" s="50"/>
      <c r="C22" s="50"/>
      <c r="D22" s="50"/>
      <c r="E22" s="50"/>
      <c r="F22" s="50"/>
      <c r="G22" s="50"/>
      <c r="H22" s="50"/>
      <c r="I22" s="51"/>
    </row>
    <row r="23" spans="1:9" ht="15" customHeight="1" x14ac:dyDescent="0.3">
      <c r="A23" s="65" t="s">
        <v>506</v>
      </c>
      <c r="B23" s="66"/>
      <c r="C23" s="66"/>
      <c r="D23" s="66"/>
      <c r="E23" s="66"/>
      <c r="F23" s="66"/>
      <c r="G23" s="66"/>
      <c r="H23" s="66"/>
      <c r="I23" s="66"/>
    </row>
    <row r="24" spans="1:9" x14ac:dyDescent="0.3">
      <c r="A24" s="67"/>
      <c r="B24" s="67"/>
      <c r="C24" s="67"/>
      <c r="D24" s="67"/>
      <c r="E24" s="67"/>
      <c r="F24" s="67"/>
      <c r="G24" s="67"/>
      <c r="H24" s="67"/>
      <c r="I24" s="67"/>
    </row>
    <row r="25" spans="1:9" ht="30" customHeight="1" x14ac:dyDescent="0.3">
      <c r="A25" s="67"/>
      <c r="B25" s="67"/>
      <c r="C25" s="67"/>
      <c r="D25" s="67"/>
      <c r="E25" s="67"/>
      <c r="F25" s="67"/>
      <c r="G25" s="67"/>
      <c r="H25" s="67"/>
      <c r="I25" s="67"/>
    </row>
  </sheetData>
  <mergeCells count="25">
    <mergeCell ref="A1:I1"/>
    <mergeCell ref="A6:I6"/>
    <mergeCell ref="A16:I16"/>
    <mergeCell ref="A22:I22"/>
    <mergeCell ref="A20:I20"/>
    <mergeCell ref="A19:I19"/>
    <mergeCell ref="A10:I10"/>
    <mergeCell ref="A2:I2"/>
    <mergeCell ref="A17:I17"/>
    <mergeCell ref="A23:I25"/>
    <mergeCell ref="A13:I13"/>
    <mergeCell ref="A15:I15"/>
    <mergeCell ref="A11:I11"/>
    <mergeCell ref="H3:I4"/>
    <mergeCell ref="F3:G5"/>
    <mergeCell ref="B4:E4"/>
    <mergeCell ref="A14:I14"/>
    <mergeCell ref="A8:I8"/>
    <mergeCell ref="B3:E3"/>
    <mergeCell ref="A9:I9"/>
    <mergeCell ref="A7:I7"/>
    <mergeCell ref="A18:I18"/>
    <mergeCell ref="B5:E5"/>
    <mergeCell ref="A12:I12"/>
    <mergeCell ref="A21:I21"/>
  </mergeCells>
  <pageMargins left="0.70833333333333304" right="0.70833333333333304" top="1.175245098039216" bottom="0.63055555555555598" header="0.31527777777777799" footer="0.31527777777777799"/>
  <pageSetup paperSize="9" scale="70" orientation="portrait" horizontalDpi="300" verticalDpi="300" r:id="rId1"/>
  <headerFooter>
    <oddHeader>&amp;L&amp;22&amp;G&amp;R&amp;12 ProVu Vista Display
Software Integration Test Request
Document ID : GTD-001263/A
Date : 22-Sep-2026</oddHeader>
    <oddFooter>&amp;L&amp;12GOP 004, Design and Development 
GOP004-F14 Issue No: 2&amp;R&amp;12 &amp;P of &amp;N</oddFooter>
  </headerFooter>
  <colBreaks count="1" manualBreakCount="1">
    <brk id="9" max="1048575" man="1"/>
  </col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127"/>
  <sheetViews>
    <sheetView showGridLines="0" view="pageBreakPreview" topLeftCell="A12" zoomScaleNormal="100" zoomScaleSheetLayoutView="100" zoomScalePageLayoutView="85" workbookViewId="0">
      <selection activeCell="C89" sqref="C89"/>
    </sheetView>
  </sheetViews>
  <sheetFormatPr defaultColWidth="8.6640625" defaultRowHeight="15" x14ac:dyDescent="0.25"/>
  <cols>
    <col min="1" max="1" width="14.5546875" style="39" customWidth="1"/>
    <col min="2" max="2" width="61" style="8" customWidth="1"/>
    <col min="3" max="3" width="52.6640625" style="8" customWidth="1"/>
    <col min="4" max="4" width="50" style="8" customWidth="1"/>
    <col min="5" max="5" width="7.33203125" style="8" customWidth="1"/>
    <col min="6" max="6" width="6.33203125" style="8" customWidth="1"/>
    <col min="7" max="8" width="8.6640625" style="8" customWidth="1"/>
    <col min="9" max="16384" width="8.6640625" style="8"/>
  </cols>
  <sheetData>
    <row r="1" spans="1:4" ht="15.6" x14ac:dyDescent="0.3">
      <c r="A1" s="85" t="str">
        <f>'About '!A1</f>
        <v>GTD-001263:  Software Integration Test Request -09</v>
      </c>
      <c r="B1" s="50"/>
      <c r="C1" s="50"/>
      <c r="D1" s="51"/>
    </row>
    <row r="2" spans="1:4" x14ac:dyDescent="0.25">
      <c r="A2" s="37" t="s">
        <v>37</v>
      </c>
      <c r="B2" s="9" t="s">
        <v>38</v>
      </c>
      <c r="C2" s="9" t="s">
        <v>39</v>
      </c>
      <c r="D2" s="9" t="s">
        <v>40</v>
      </c>
    </row>
    <row r="3" spans="1:4" ht="23.1" customHeight="1" x14ac:dyDescent="0.3">
      <c r="A3" s="86" t="s">
        <v>41</v>
      </c>
      <c r="B3" s="50"/>
      <c r="C3" s="50"/>
      <c r="D3" s="51"/>
    </row>
    <row r="4" spans="1:4" ht="91.2" customHeight="1" x14ac:dyDescent="0.25">
      <c r="A4" s="34">
        <v>10</v>
      </c>
      <c r="B4" s="33" t="s">
        <v>411</v>
      </c>
      <c r="C4" s="33" t="s">
        <v>412</v>
      </c>
      <c r="D4" s="33" t="s">
        <v>413</v>
      </c>
    </row>
    <row r="5" spans="1:4" ht="83.4" customHeight="1" x14ac:dyDescent="0.25">
      <c r="A5" s="34">
        <v>20</v>
      </c>
      <c r="B5" s="33" t="s">
        <v>414</v>
      </c>
      <c r="C5" s="33" t="s">
        <v>415</v>
      </c>
      <c r="D5" s="33" t="s">
        <v>416</v>
      </c>
    </row>
    <row r="6" spans="1:4" ht="127.5" customHeight="1" x14ac:dyDescent="0.25">
      <c r="A6" s="35">
        <v>30</v>
      </c>
      <c r="B6" s="36" t="s">
        <v>417</v>
      </c>
      <c r="C6" s="36" t="s">
        <v>418</v>
      </c>
      <c r="D6" s="36" t="s">
        <v>419</v>
      </c>
    </row>
    <row r="7" spans="1:4" ht="121.8" customHeight="1" x14ac:dyDescent="0.25">
      <c r="A7" s="34">
        <v>40</v>
      </c>
      <c r="B7" s="33" t="s">
        <v>420</v>
      </c>
      <c r="C7" s="33" t="s">
        <v>421</v>
      </c>
      <c r="D7" s="33" t="s">
        <v>422</v>
      </c>
    </row>
    <row r="8" spans="1:4" ht="84.6" customHeight="1" x14ac:dyDescent="0.25">
      <c r="A8" s="86" t="s">
        <v>491</v>
      </c>
      <c r="B8" s="87"/>
      <c r="C8" s="87"/>
      <c r="D8" s="88"/>
    </row>
    <row r="9" spans="1:4" ht="104.4" customHeight="1" x14ac:dyDescent="0.25">
      <c r="A9" s="38">
        <f>A7+10</f>
        <v>50</v>
      </c>
      <c r="B9" s="30" t="s">
        <v>42</v>
      </c>
      <c r="C9" s="30" t="s">
        <v>43</v>
      </c>
      <c r="D9" s="33" t="s">
        <v>423</v>
      </c>
    </row>
    <row r="10" spans="1:4" ht="108.6" customHeight="1" x14ac:dyDescent="0.25">
      <c r="A10" s="38">
        <f>A9+10</f>
        <v>60</v>
      </c>
      <c r="B10" s="30" t="s">
        <v>44</v>
      </c>
      <c r="C10" s="31" t="s">
        <v>45</v>
      </c>
      <c r="D10" s="33" t="s">
        <v>424</v>
      </c>
    </row>
    <row r="11" spans="1:4" ht="108.6" customHeight="1" x14ac:dyDescent="0.25">
      <c r="A11" s="38">
        <f t="shared" ref="A11:A14" si="0">A10+10</f>
        <v>70</v>
      </c>
      <c r="B11" s="30" t="s">
        <v>46</v>
      </c>
      <c r="C11" s="30" t="s">
        <v>47</v>
      </c>
      <c r="D11" s="33" t="s">
        <v>425</v>
      </c>
    </row>
    <row r="12" spans="1:4" ht="135" customHeight="1" x14ac:dyDescent="0.25">
      <c r="A12" s="38">
        <f t="shared" si="0"/>
        <v>80</v>
      </c>
      <c r="B12" s="30" t="s">
        <v>48</v>
      </c>
      <c r="C12" s="30" t="s">
        <v>49</v>
      </c>
      <c r="D12" s="33" t="s">
        <v>426</v>
      </c>
    </row>
    <row r="13" spans="1:4" ht="66.599999999999994" customHeight="1" x14ac:dyDescent="0.25">
      <c r="A13" s="38">
        <f t="shared" si="0"/>
        <v>90</v>
      </c>
      <c r="B13" s="30" t="s">
        <v>50</v>
      </c>
      <c r="C13" s="30" t="s">
        <v>51</v>
      </c>
      <c r="D13" s="33" t="s">
        <v>427</v>
      </c>
    </row>
    <row r="14" spans="1:4" ht="117" customHeight="1" x14ac:dyDescent="0.25">
      <c r="A14" s="38">
        <f t="shared" si="0"/>
        <v>100</v>
      </c>
      <c r="B14" s="30" t="s">
        <v>52</v>
      </c>
      <c r="C14" s="30" t="s">
        <v>53</v>
      </c>
      <c r="D14" s="33" t="s">
        <v>428</v>
      </c>
    </row>
    <row r="15" spans="1:4" ht="74.400000000000006" customHeight="1" x14ac:dyDescent="0.25">
      <c r="A15" s="89" t="s">
        <v>493</v>
      </c>
      <c r="B15" s="90"/>
      <c r="C15" s="90"/>
      <c r="D15" s="91"/>
    </row>
    <row r="16" spans="1:4" ht="89.4" customHeight="1" x14ac:dyDescent="0.25">
      <c r="A16" s="38">
        <f>A14+10</f>
        <v>110</v>
      </c>
      <c r="B16" s="30" t="s">
        <v>54</v>
      </c>
      <c r="C16" s="30" t="s">
        <v>55</v>
      </c>
      <c r="D16" s="33" t="s">
        <v>429</v>
      </c>
    </row>
    <row r="17" spans="1:4" ht="103.2" customHeight="1" x14ac:dyDescent="0.25">
      <c r="A17" s="38">
        <f>A16+10</f>
        <v>120</v>
      </c>
      <c r="B17" s="30" t="s">
        <v>56</v>
      </c>
      <c r="C17" s="30" t="s">
        <v>57</v>
      </c>
      <c r="D17" s="33" t="s">
        <v>430</v>
      </c>
    </row>
    <row r="18" spans="1:4" ht="101.4" customHeight="1" x14ac:dyDescent="0.25">
      <c r="A18" s="38">
        <f t="shared" ref="A18:A25" si="1">A17+10</f>
        <v>130</v>
      </c>
      <c r="B18" s="30" t="s">
        <v>58</v>
      </c>
      <c r="C18" s="30" t="s">
        <v>59</v>
      </c>
      <c r="D18" s="33" t="s">
        <v>431</v>
      </c>
    </row>
    <row r="19" spans="1:4" ht="96.6" customHeight="1" x14ac:dyDescent="0.25">
      <c r="A19" s="38">
        <f t="shared" si="1"/>
        <v>140</v>
      </c>
      <c r="B19" s="30" t="s">
        <v>60</v>
      </c>
      <c r="C19" s="30" t="s">
        <v>61</v>
      </c>
      <c r="D19" s="33" t="s">
        <v>432</v>
      </c>
    </row>
    <row r="20" spans="1:4" ht="89.4" customHeight="1" x14ac:dyDescent="0.25">
      <c r="A20" s="38">
        <f t="shared" si="1"/>
        <v>150</v>
      </c>
      <c r="B20" s="30" t="s">
        <v>62</v>
      </c>
      <c r="C20" s="30" t="s">
        <v>63</v>
      </c>
      <c r="D20" s="33" t="s">
        <v>433</v>
      </c>
    </row>
    <row r="21" spans="1:4" ht="101.4" customHeight="1" x14ac:dyDescent="0.25">
      <c r="A21" s="38">
        <f t="shared" si="1"/>
        <v>160</v>
      </c>
      <c r="B21" s="30" t="s">
        <v>64</v>
      </c>
      <c r="C21" s="30" t="s">
        <v>65</v>
      </c>
      <c r="D21" s="33" t="s">
        <v>434</v>
      </c>
    </row>
    <row r="22" spans="1:4" ht="93.6" customHeight="1" x14ac:dyDescent="0.25">
      <c r="A22" s="38">
        <f t="shared" si="1"/>
        <v>170</v>
      </c>
      <c r="B22" s="30" t="s">
        <v>66</v>
      </c>
      <c r="C22" s="30" t="s">
        <v>67</v>
      </c>
      <c r="D22" s="33" t="s">
        <v>437</v>
      </c>
    </row>
    <row r="23" spans="1:4" ht="126" customHeight="1" x14ac:dyDescent="0.25">
      <c r="A23" s="38">
        <f t="shared" si="1"/>
        <v>180</v>
      </c>
      <c r="B23" s="30" t="s">
        <v>68</v>
      </c>
      <c r="C23" s="30" t="s">
        <v>69</v>
      </c>
      <c r="D23" s="33" t="s">
        <v>436</v>
      </c>
    </row>
    <row r="24" spans="1:4" ht="124.2" customHeight="1" x14ac:dyDescent="0.25">
      <c r="A24" s="38">
        <f t="shared" si="1"/>
        <v>190</v>
      </c>
      <c r="B24" s="30" t="s">
        <v>70</v>
      </c>
      <c r="C24" s="30" t="s">
        <v>71</v>
      </c>
      <c r="D24" s="33" t="s">
        <v>435</v>
      </c>
    </row>
    <row r="25" spans="1:4" ht="112.8" customHeight="1" x14ac:dyDescent="0.25">
      <c r="A25" s="38">
        <f t="shared" si="1"/>
        <v>200</v>
      </c>
      <c r="B25" s="30" t="s">
        <v>52</v>
      </c>
      <c r="C25" s="30" t="s">
        <v>72</v>
      </c>
      <c r="D25" s="33" t="s">
        <v>438</v>
      </c>
    </row>
    <row r="26" spans="1:4" ht="78.599999999999994" customHeight="1" x14ac:dyDescent="0.25">
      <c r="A26" s="89" t="s">
        <v>509</v>
      </c>
      <c r="B26" s="90"/>
      <c r="C26" s="90"/>
      <c r="D26" s="91"/>
    </row>
    <row r="27" spans="1:4" ht="77.400000000000006" customHeight="1" x14ac:dyDescent="0.25">
      <c r="A27" s="38">
        <f>A25+10</f>
        <v>210</v>
      </c>
      <c r="B27" s="30" t="s">
        <v>73</v>
      </c>
      <c r="C27" s="30" t="s">
        <v>74</v>
      </c>
      <c r="D27" s="33" t="s">
        <v>439</v>
      </c>
    </row>
    <row r="28" spans="1:4" ht="45" customHeight="1" x14ac:dyDescent="0.25">
      <c r="A28" s="38">
        <f>A27+10</f>
        <v>220</v>
      </c>
      <c r="B28" s="30" t="s">
        <v>75</v>
      </c>
      <c r="C28" s="30" t="s">
        <v>76</v>
      </c>
      <c r="D28" s="33" t="s">
        <v>440</v>
      </c>
    </row>
    <row r="29" spans="1:4" ht="77.400000000000006" customHeight="1" x14ac:dyDescent="0.25">
      <c r="A29" s="38">
        <f t="shared" ref="A29:A45" si="2">A28+10</f>
        <v>230</v>
      </c>
      <c r="B29" s="30" t="s">
        <v>77</v>
      </c>
      <c r="C29" s="30" t="s">
        <v>78</v>
      </c>
      <c r="D29" s="33" t="s">
        <v>441</v>
      </c>
    </row>
    <row r="30" spans="1:4" ht="58.8" customHeight="1" x14ac:dyDescent="0.25">
      <c r="A30" s="38">
        <f t="shared" si="2"/>
        <v>240</v>
      </c>
      <c r="B30" s="30" t="s">
        <v>79</v>
      </c>
      <c r="C30" s="30" t="s">
        <v>80</v>
      </c>
      <c r="D30" s="33" t="s">
        <v>442</v>
      </c>
    </row>
    <row r="31" spans="1:4" ht="135" customHeight="1" x14ac:dyDescent="0.25">
      <c r="A31" s="38">
        <f t="shared" si="2"/>
        <v>250</v>
      </c>
      <c r="B31" s="30" t="s">
        <v>81</v>
      </c>
      <c r="C31" s="30" t="s">
        <v>82</v>
      </c>
      <c r="D31" s="33" t="s">
        <v>443</v>
      </c>
    </row>
    <row r="32" spans="1:4" ht="45" customHeight="1" x14ac:dyDescent="0.25">
      <c r="A32" s="38">
        <f t="shared" si="2"/>
        <v>260</v>
      </c>
      <c r="B32" s="30" t="s">
        <v>83</v>
      </c>
      <c r="C32" s="30" t="s">
        <v>84</v>
      </c>
      <c r="D32" s="33" t="s">
        <v>444</v>
      </c>
    </row>
    <row r="33" spans="1:4" ht="153" customHeight="1" x14ac:dyDescent="0.25">
      <c r="A33" s="38">
        <f t="shared" si="2"/>
        <v>270</v>
      </c>
      <c r="B33" s="30" t="s">
        <v>85</v>
      </c>
      <c r="C33" s="30" t="s">
        <v>86</v>
      </c>
      <c r="D33" s="33" t="s">
        <v>445</v>
      </c>
    </row>
    <row r="34" spans="1:4" ht="107.4" customHeight="1" x14ac:dyDescent="0.25">
      <c r="A34" s="38">
        <f t="shared" si="2"/>
        <v>280</v>
      </c>
      <c r="B34" s="30" t="s">
        <v>87</v>
      </c>
      <c r="C34" s="30" t="s">
        <v>88</v>
      </c>
      <c r="D34" s="33" t="s">
        <v>446</v>
      </c>
    </row>
    <row r="35" spans="1:4" ht="45" customHeight="1" x14ac:dyDescent="0.25">
      <c r="A35" s="38">
        <f t="shared" si="2"/>
        <v>290</v>
      </c>
      <c r="B35" s="30" t="s">
        <v>89</v>
      </c>
      <c r="C35" s="30" t="s">
        <v>90</v>
      </c>
      <c r="D35" s="33" t="s">
        <v>447</v>
      </c>
    </row>
    <row r="36" spans="1:4" ht="82.8" customHeight="1" x14ac:dyDescent="0.25">
      <c r="A36" s="38">
        <f t="shared" si="2"/>
        <v>300</v>
      </c>
      <c r="B36" s="30" t="s">
        <v>91</v>
      </c>
      <c r="C36" s="30" t="s">
        <v>92</v>
      </c>
      <c r="D36" s="33" t="s">
        <v>448</v>
      </c>
    </row>
    <row r="37" spans="1:4" ht="112.8" customHeight="1" x14ac:dyDescent="0.25">
      <c r="A37" s="38">
        <f t="shared" si="2"/>
        <v>310</v>
      </c>
      <c r="B37" s="30" t="s">
        <v>46</v>
      </c>
      <c r="C37" s="30" t="s">
        <v>93</v>
      </c>
      <c r="D37" s="33" t="s">
        <v>449</v>
      </c>
    </row>
    <row r="38" spans="1:4" ht="85.8" customHeight="1" x14ac:dyDescent="0.25">
      <c r="A38" s="38">
        <f t="shared" si="2"/>
        <v>320</v>
      </c>
      <c r="B38" s="30" t="s">
        <v>94</v>
      </c>
      <c r="C38" s="30" t="s">
        <v>95</v>
      </c>
      <c r="D38" s="33" t="s">
        <v>450</v>
      </c>
    </row>
    <row r="39" spans="1:4" ht="96" customHeight="1" x14ac:dyDescent="0.25">
      <c r="A39" s="38">
        <f t="shared" si="2"/>
        <v>330</v>
      </c>
      <c r="B39" s="30" t="s">
        <v>46</v>
      </c>
      <c r="C39" s="30" t="s">
        <v>96</v>
      </c>
      <c r="D39" s="33" t="s">
        <v>451</v>
      </c>
    </row>
    <row r="40" spans="1:4" ht="124.2" customHeight="1" x14ac:dyDescent="0.25">
      <c r="A40" s="38">
        <f t="shared" si="2"/>
        <v>340</v>
      </c>
      <c r="B40" s="30" t="s">
        <v>97</v>
      </c>
      <c r="C40" s="30" t="s">
        <v>98</v>
      </c>
      <c r="D40" s="33" t="s">
        <v>452</v>
      </c>
    </row>
    <row r="41" spans="1:4" ht="56.4" customHeight="1" x14ac:dyDescent="0.25">
      <c r="A41" s="38">
        <f t="shared" si="2"/>
        <v>350</v>
      </c>
      <c r="B41" s="30" t="s">
        <v>99</v>
      </c>
      <c r="C41" s="30" t="s">
        <v>100</v>
      </c>
      <c r="D41" s="33" t="s">
        <v>453</v>
      </c>
    </row>
    <row r="42" spans="1:4" ht="72.599999999999994" customHeight="1" x14ac:dyDescent="0.25">
      <c r="A42" s="38">
        <f t="shared" si="2"/>
        <v>360</v>
      </c>
      <c r="B42" s="30" t="s">
        <v>101</v>
      </c>
      <c r="C42" s="30" t="s">
        <v>102</v>
      </c>
      <c r="D42" s="33" t="s">
        <v>454</v>
      </c>
    </row>
    <row r="43" spans="1:4" ht="77.400000000000006" customHeight="1" x14ac:dyDescent="0.25">
      <c r="A43" s="38">
        <f t="shared" si="2"/>
        <v>370</v>
      </c>
      <c r="B43" s="30" t="s">
        <v>103</v>
      </c>
      <c r="C43" s="30" t="s">
        <v>104</v>
      </c>
      <c r="D43" s="33" t="s">
        <v>455</v>
      </c>
    </row>
    <row r="44" spans="1:4" ht="70.2" customHeight="1" x14ac:dyDescent="0.25">
      <c r="A44" s="38">
        <f t="shared" si="2"/>
        <v>380</v>
      </c>
      <c r="B44" s="30" t="s">
        <v>105</v>
      </c>
      <c r="C44" s="30" t="s">
        <v>106</v>
      </c>
      <c r="D44" s="33" t="s">
        <v>456</v>
      </c>
    </row>
    <row r="45" spans="1:4" ht="88.2" customHeight="1" x14ac:dyDescent="0.25">
      <c r="A45" s="38">
        <f t="shared" si="2"/>
        <v>390</v>
      </c>
      <c r="B45" s="30" t="s">
        <v>107</v>
      </c>
      <c r="C45" s="30" t="s">
        <v>108</v>
      </c>
      <c r="D45" s="33" t="s">
        <v>457</v>
      </c>
    </row>
    <row r="46" spans="1:4" ht="64.2" customHeight="1" x14ac:dyDescent="0.3">
      <c r="A46" s="82" t="s">
        <v>494</v>
      </c>
      <c r="B46" s="83"/>
      <c r="C46" s="83"/>
      <c r="D46" s="84"/>
    </row>
    <row r="47" spans="1:4" ht="76.8" customHeight="1" x14ac:dyDescent="0.25">
      <c r="A47" s="38">
        <f>A45+10</f>
        <v>400</v>
      </c>
      <c r="B47" s="30" t="s">
        <v>109</v>
      </c>
      <c r="C47" s="30" t="s">
        <v>110</v>
      </c>
      <c r="D47" s="33" t="s">
        <v>458</v>
      </c>
    </row>
    <row r="48" spans="1:4" ht="45" customHeight="1" x14ac:dyDescent="0.25">
      <c r="A48" s="38">
        <f>A47+10</f>
        <v>410</v>
      </c>
      <c r="B48" s="30" t="s">
        <v>111</v>
      </c>
      <c r="C48" s="30" t="s">
        <v>112</v>
      </c>
      <c r="D48" s="33" t="s">
        <v>459</v>
      </c>
    </row>
    <row r="49" spans="1:4" ht="57.6" customHeight="1" x14ac:dyDescent="0.25">
      <c r="A49" s="38">
        <f t="shared" ref="A49:A54" si="3">A48+10</f>
        <v>420</v>
      </c>
      <c r="B49" s="30" t="s">
        <v>113</v>
      </c>
      <c r="C49" s="30" t="s">
        <v>114</v>
      </c>
      <c r="D49" s="33" t="s">
        <v>460</v>
      </c>
    </row>
    <row r="50" spans="1:4" ht="93" customHeight="1" x14ac:dyDescent="0.25">
      <c r="A50" s="38">
        <f t="shared" si="3"/>
        <v>430</v>
      </c>
      <c r="B50" s="30" t="s">
        <v>115</v>
      </c>
      <c r="C50" s="30" t="s">
        <v>116</v>
      </c>
      <c r="D50" s="33" t="s">
        <v>461</v>
      </c>
    </row>
    <row r="51" spans="1:4" ht="88.2" customHeight="1" x14ac:dyDescent="0.25">
      <c r="A51" s="38">
        <f t="shared" si="3"/>
        <v>440</v>
      </c>
      <c r="B51" s="30" t="s">
        <v>117</v>
      </c>
      <c r="C51" s="30" t="s">
        <v>118</v>
      </c>
      <c r="D51" s="33" t="s">
        <v>462</v>
      </c>
    </row>
    <row r="52" spans="1:4" ht="89.4" customHeight="1" x14ac:dyDescent="0.25">
      <c r="A52" s="38">
        <f t="shared" si="3"/>
        <v>450</v>
      </c>
      <c r="B52" s="30" t="s">
        <v>119</v>
      </c>
      <c r="C52" s="30" t="s">
        <v>120</v>
      </c>
      <c r="D52" s="33" t="s">
        <v>463</v>
      </c>
    </row>
    <row r="53" spans="1:4" ht="87.6" customHeight="1" x14ac:dyDescent="0.25">
      <c r="A53" s="38">
        <f t="shared" si="3"/>
        <v>460</v>
      </c>
      <c r="B53" s="30" t="s">
        <v>119</v>
      </c>
      <c r="C53" s="30" t="s">
        <v>120</v>
      </c>
      <c r="D53" s="33" t="s">
        <v>463</v>
      </c>
    </row>
    <row r="54" spans="1:4" ht="70.2" customHeight="1" x14ac:dyDescent="0.25">
      <c r="A54" s="38">
        <f t="shared" si="3"/>
        <v>470</v>
      </c>
      <c r="B54" s="30" t="s">
        <v>121</v>
      </c>
      <c r="C54" s="30" t="s">
        <v>108</v>
      </c>
      <c r="D54" s="33" t="s">
        <v>464</v>
      </c>
    </row>
    <row r="55" spans="1:4" ht="82.2" customHeight="1" x14ac:dyDescent="0.3">
      <c r="A55" s="82" t="s">
        <v>510</v>
      </c>
      <c r="B55" s="83"/>
      <c r="C55" s="83"/>
      <c r="D55" s="84"/>
    </row>
    <row r="56" spans="1:4" ht="63.6" customHeight="1" x14ac:dyDescent="0.25">
      <c r="A56" s="38">
        <f>A54+10</f>
        <v>480</v>
      </c>
      <c r="B56" s="30" t="s">
        <v>122</v>
      </c>
      <c r="C56" s="30" t="s">
        <v>123</v>
      </c>
      <c r="D56" s="33" t="s">
        <v>465</v>
      </c>
    </row>
    <row r="57" spans="1:4" ht="52.8" customHeight="1" x14ac:dyDescent="0.25">
      <c r="A57" s="38">
        <f>A56+10</f>
        <v>490</v>
      </c>
      <c r="B57" s="30" t="s">
        <v>124</v>
      </c>
      <c r="C57" s="30" t="s">
        <v>125</v>
      </c>
      <c r="D57" s="33" t="s">
        <v>466</v>
      </c>
    </row>
    <row r="58" spans="1:4" ht="74.400000000000006" customHeight="1" x14ac:dyDescent="0.25">
      <c r="A58" s="38">
        <f>A57+10</f>
        <v>500</v>
      </c>
      <c r="B58" s="30" t="s">
        <v>126</v>
      </c>
      <c r="C58" s="30" t="s">
        <v>108</v>
      </c>
      <c r="D58" s="33" t="s">
        <v>457</v>
      </c>
    </row>
    <row r="59" spans="1:4" ht="68.400000000000006" customHeight="1" x14ac:dyDescent="0.3">
      <c r="A59" s="82" t="s">
        <v>511</v>
      </c>
      <c r="B59" s="83"/>
      <c r="C59" s="83"/>
      <c r="D59" s="84"/>
    </row>
    <row r="60" spans="1:4" ht="105.6" customHeight="1" x14ac:dyDescent="0.25">
      <c r="A60" s="38">
        <f>A58+10</f>
        <v>510</v>
      </c>
      <c r="B60" s="30" t="s">
        <v>127</v>
      </c>
      <c r="C60" s="30" t="s">
        <v>128</v>
      </c>
      <c r="D60" s="33" t="s">
        <v>468</v>
      </c>
    </row>
    <row r="61" spans="1:4" ht="154.80000000000001" customHeight="1" x14ac:dyDescent="0.25">
      <c r="A61" s="38">
        <f>A60+10</f>
        <v>520</v>
      </c>
      <c r="B61" s="30" t="s">
        <v>129</v>
      </c>
      <c r="C61" s="30" t="s">
        <v>130</v>
      </c>
      <c r="D61" s="33" t="s">
        <v>467</v>
      </c>
    </row>
    <row r="62" spans="1:4" ht="76.8" customHeight="1" x14ac:dyDescent="0.3">
      <c r="A62" s="82" t="s">
        <v>495</v>
      </c>
      <c r="B62" s="83"/>
      <c r="C62" s="83"/>
      <c r="D62" s="84"/>
    </row>
    <row r="63" spans="1:4" ht="87" customHeight="1" x14ac:dyDescent="0.25">
      <c r="A63" s="38">
        <f>A61+10</f>
        <v>530</v>
      </c>
      <c r="B63" s="30" t="s">
        <v>131</v>
      </c>
      <c r="C63" s="30" t="s">
        <v>132</v>
      </c>
      <c r="D63" s="33" t="s">
        <v>469</v>
      </c>
    </row>
    <row r="64" spans="1:4" ht="94.2" customHeight="1" x14ac:dyDescent="0.25">
      <c r="A64" s="38">
        <f>A63+10</f>
        <v>540</v>
      </c>
      <c r="B64" s="30" t="s">
        <v>133</v>
      </c>
      <c r="C64" s="30" t="s">
        <v>134</v>
      </c>
      <c r="D64" s="33" t="s">
        <v>469</v>
      </c>
    </row>
    <row r="65" spans="1:4" ht="86.4" customHeight="1" x14ac:dyDescent="0.25">
      <c r="A65" s="38">
        <f t="shared" ref="A65:A68" si="4">A64+10</f>
        <v>550</v>
      </c>
      <c r="B65" s="30" t="s">
        <v>135</v>
      </c>
      <c r="C65" s="30" t="s">
        <v>136</v>
      </c>
      <c r="D65" s="29" t="s">
        <v>470</v>
      </c>
    </row>
    <row r="66" spans="1:4" ht="49.2" customHeight="1" x14ac:dyDescent="0.25">
      <c r="A66" s="38">
        <f t="shared" si="4"/>
        <v>560</v>
      </c>
      <c r="B66" s="30" t="s">
        <v>137</v>
      </c>
      <c r="C66" s="30" t="s">
        <v>138</v>
      </c>
      <c r="D66" s="33" t="s">
        <v>471</v>
      </c>
    </row>
    <row r="67" spans="1:4" ht="45" customHeight="1" x14ac:dyDescent="0.25">
      <c r="A67" s="38">
        <f t="shared" si="4"/>
        <v>570</v>
      </c>
      <c r="B67" s="30" t="s">
        <v>139</v>
      </c>
      <c r="C67" s="30" t="s">
        <v>140</v>
      </c>
      <c r="D67" s="33" t="s">
        <v>472</v>
      </c>
    </row>
    <row r="68" spans="1:4" ht="52.8" customHeight="1" x14ac:dyDescent="0.25">
      <c r="A68" s="38">
        <f t="shared" si="4"/>
        <v>580</v>
      </c>
      <c r="B68" s="30" t="s">
        <v>141</v>
      </c>
      <c r="C68" s="30" t="s">
        <v>142</v>
      </c>
      <c r="D68" s="29" t="s">
        <v>473</v>
      </c>
    </row>
    <row r="69" spans="1:4" ht="75.599999999999994" customHeight="1" x14ac:dyDescent="0.3">
      <c r="A69" s="82" t="s">
        <v>496</v>
      </c>
      <c r="B69" s="83"/>
      <c r="C69" s="83"/>
      <c r="D69" s="84"/>
    </row>
    <row r="70" spans="1:4" ht="63.6" customHeight="1" x14ac:dyDescent="0.25">
      <c r="A70" s="38">
        <f>A68+10</f>
        <v>590</v>
      </c>
      <c r="B70" s="30" t="s">
        <v>143</v>
      </c>
      <c r="C70" s="44" t="s">
        <v>144</v>
      </c>
      <c r="D70" s="33" t="s">
        <v>474</v>
      </c>
    </row>
    <row r="71" spans="1:4" ht="45" customHeight="1" x14ac:dyDescent="0.25">
      <c r="A71" s="38">
        <f>A70+10</f>
        <v>600</v>
      </c>
      <c r="B71" s="30" t="s">
        <v>145</v>
      </c>
      <c r="C71" s="32" t="s">
        <v>146</v>
      </c>
      <c r="D71" s="33" t="s">
        <v>475</v>
      </c>
    </row>
    <row r="72" spans="1:4" ht="58.8" customHeight="1" x14ac:dyDescent="0.25">
      <c r="A72" s="38">
        <f t="shared" ref="A72:A76" si="5">A71+10</f>
        <v>610</v>
      </c>
      <c r="B72" s="30" t="s">
        <v>147</v>
      </c>
      <c r="C72" s="32" t="s">
        <v>148</v>
      </c>
      <c r="D72" s="33" t="s">
        <v>476</v>
      </c>
    </row>
    <row r="73" spans="1:4" ht="45" customHeight="1" x14ac:dyDescent="0.25">
      <c r="A73" s="38">
        <f t="shared" si="5"/>
        <v>620</v>
      </c>
      <c r="B73" s="30" t="s">
        <v>149</v>
      </c>
      <c r="C73" s="30" t="s">
        <v>150</v>
      </c>
      <c r="D73" s="33" t="s">
        <v>477</v>
      </c>
    </row>
    <row r="74" spans="1:4" ht="45" customHeight="1" x14ac:dyDescent="0.25">
      <c r="A74" s="38">
        <f t="shared" si="5"/>
        <v>630</v>
      </c>
      <c r="B74" s="30" t="s">
        <v>151</v>
      </c>
      <c r="C74" s="30" t="s">
        <v>152</v>
      </c>
      <c r="D74" s="33" t="s">
        <v>478</v>
      </c>
    </row>
    <row r="75" spans="1:4" ht="70.8" customHeight="1" x14ac:dyDescent="0.25">
      <c r="A75" s="38">
        <f t="shared" si="5"/>
        <v>640</v>
      </c>
      <c r="B75" s="30" t="s">
        <v>492</v>
      </c>
      <c r="C75" s="30" t="s">
        <v>164</v>
      </c>
      <c r="D75" s="33" t="s">
        <v>484</v>
      </c>
    </row>
    <row r="76" spans="1:4" ht="86.4" x14ac:dyDescent="0.25">
      <c r="A76" s="38">
        <f t="shared" si="5"/>
        <v>650</v>
      </c>
      <c r="B76" s="30" t="s">
        <v>165</v>
      </c>
      <c r="C76" s="30" t="s">
        <v>166</v>
      </c>
      <c r="D76" s="33" t="s">
        <v>485</v>
      </c>
    </row>
    <row r="77" spans="1:4" ht="97.8" customHeight="1" x14ac:dyDescent="0.25">
      <c r="A77" s="38">
        <f>A76+10</f>
        <v>660</v>
      </c>
      <c r="B77" s="30" t="s">
        <v>52</v>
      </c>
      <c r="C77" s="30" t="s">
        <v>167</v>
      </c>
      <c r="D77" s="33" t="s">
        <v>486</v>
      </c>
    </row>
    <row r="78" spans="1:4" ht="89.4" customHeight="1" x14ac:dyDescent="0.3">
      <c r="A78" s="82" t="s">
        <v>512</v>
      </c>
      <c r="B78" s="83"/>
      <c r="C78" s="83"/>
      <c r="D78" s="84"/>
    </row>
    <row r="79" spans="1:4" ht="112.8" customHeight="1" x14ac:dyDescent="0.25">
      <c r="A79" s="38">
        <f>A77+10</f>
        <v>670</v>
      </c>
      <c r="B79" s="30" t="s">
        <v>153</v>
      </c>
      <c r="C79" s="30" t="s">
        <v>154</v>
      </c>
      <c r="D79" s="33" t="s">
        <v>479</v>
      </c>
    </row>
    <row r="80" spans="1:4" ht="70.2" customHeight="1" x14ac:dyDescent="0.25">
      <c r="A80" s="38">
        <f>A79+10</f>
        <v>680</v>
      </c>
      <c r="B80" s="30" t="s">
        <v>155</v>
      </c>
      <c r="C80" s="30" t="s">
        <v>156</v>
      </c>
      <c r="D80" s="33" t="s">
        <v>480</v>
      </c>
    </row>
    <row r="81" spans="1:4" ht="115.8" customHeight="1" x14ac:dyDescent="0.25">
      <c r="A81" s="38">
        <f t="shared" ref="A81:A84" si="6">A80+10</f>
        <v>690</v>
      </c>
      <c r="B81" s="30" t="s">
        <v>157</v>
      </c>
      <c r="C81" s="30" t="s">
        <v>158</v>
      </c>
      <c r="D81" s="33" t="s">
        <v>481</v>
      </c>
    </row>
    <row r="82" spans="1:4" ht="173.4" customHeight="1" x14ac:dyDescent="0.25">
      <c r="A82" s="38">
        <f t="shared" si="6"/>
        <v>700</v>
      </c>
      <c r="B82" s="30" t="s">
        <v>159</v>
      </c>
      <c r="C82" s="30" t="s">
        <v>160</v>
      </c>
      <c r="D82" s="33" t="s">
        <v>482</v>
      </c>
    </row>
    <row r="83" spans="1:4" ht="147" customHeight="1" x14ac:dyDescent="0.25">
      <c r="A83" s="38">
        <f t="shared" si="6"/>
        <v>710</v>
      </c>
      <c r="B83" s="30" t="s">
        <v>161</v>
      </c>
      <c r="C83" s="30" t="s">
        <v>162</v>
      </c>
      <c r="D83" s="33" t="s">
        <v>483</v>
      </c>
    </row>
    <row r="84" spans="1:4" ht="87" customHeight="1" x14ac:dyDescent="0.25">
      <c r="A84" s="38">
        <f t="shared" si="6"/>
        <v>720</v>
      </c>
      <c r="B84" s="30" t="s">
        <v>163</v>
      </c>
      <c r="C84" s="30" t="s">
        <v>164</v>
      </c>
      <c r="D84" s="33" t="s">
        <v>484</v>
      </c>
    </row>
    <row r="85" spans="1:4" ht="79.8" customHeight="1" x14ac:dyDescent="0.3">
      <c r="A85" s="82" t="s">
        <v>497</v>
      </c>
      <c r="B85" s="83"/>
      <c r="C85" s="83"/>
      <c r="D85" s="84"/>
    </row>
    <row r="86" spans="1:4" ht="81" customHeight="1" x14ac:dyDescent="0.25">
      <c r="A86" s="38">
        <f>A84+10</f>
        <v>730</v>
      </c>
      <c r="B86" s="30" t="s">
        <v>168</v>
      </c>
      <c r="C86" s="30" t="s">
        <v>169</v>
      </c>
      <c r="D86" s="33" t="s">
        <v>487</v>
      </c>
    </row>
    <row r="87" spans="1:4" ht="70.8" customHeight="1" x14ac:dyDescent="0.25">
      <c r="A87" s="40">
        <f>A86+10</f>
        <v>740</v>
      </c>
      <c r="B87" s="41" t="s">
        <v>170</v>
      </c>
      <c r="C87" s="41" t="s">
        <v>171</v>
      </c>
      <c r="D87" s="36" t="s">
        <v>488</v>
      </c>
    </row>
    <row r="88" spans="1:4" ht="67.2" customHeight="1" x14ac:dyDescent="0.3">
      <c r="A88" s="82" t="s">
        <v>498</v>
      </c>
      <c r="B88" s="83"/>
      <c r="C88" s="83"/>
      <c r="D88" s="84"/>
    </row>
    <row r="89" spans="1:4" ht="115.8" customHeight="1" x14ac:dyDescent="0.25">
      <c r="A89" s="38">
        <f>A87+10</f>
        <v>750</v>
      </c>
      <c r="B89" s="48" t="s">
        <v>513</v>
      </c>
      <c r="C89" s="30" t="s">
        <v>499</v>
      </c>
      <c r="D89" s="33" t="s">
        <v>500</v>
      </c>
    </row>
    <row r="90" spans="1:4" ht="46.2" customHeight="1" x14ac:dyDescent="0.25">
      <c r="A90" s="38">
        <f>A89+10</f>
        <v>760</v>
      </c>
      <c r="B90" s="30" t="s">
        <v>501</v>
      </c>
      <c r="C90" s="30" t="s">
        <v>502</v>
      </c>
      <c r="D90" s="33" t="s">
        <v>503</v>
      </c>
    </row>
    <row r="91" spans="1:4" x14ac:dyDescent="0.25">
      <c r="A91" s="42"/>
      <c r="B91" s="43"/>
      <c r="C91" s="43"/>
      <c r="D91" s="43"/>
    </row>
    <row r="92" spans="1:4" x14ac:dyDescent="0.25">
      <c r="A92" s="42"/>
      <c r="B92" s="43"/>
      <c r="C92" s="43"/>
      <c r="D92" s="43"/>
    </row>
    <row r="93" spans="1:4" x14ac:dyDescent="0.25">
      <c r="A93" s="42"/>
      <c r="B93" s="43"/>
      <c r="C93" s="43"/>
      <c r="D93" s="43"/>
    </row>
    <row r="94" spans="1:4" x14ac:dyDescent="0.25">
      <c r="A94" s="42"/>
      <c r="B94" s="43"/>
      <c r="C94" s="43"/>
      <c r="D94" s="43"/>
    </row>
    <row r="95" spans="1:4" x14ac:dyDescent="0.25">
      <c r="A95" s="42"/>
      <c r="B95" s="43"/>
      <c r="C95" s="43"/>
      <c r="D95" s="43"/>
    </row>
    <row r="96" spans="1:4" x14ac:dyDescent="0.25">
      <c r="A96" s="42"/>
      <c r="B96" s="43"/>
      <c r="C96" s="43"/>
      <c r="D96" s="43"/>
    </row>
    <row r="97" spans="1:4" x14ac:dyDescent="0.25">
      <c r="A97" s="42"/>
      <c r="B97" s="43"/>
      <c r="C97" s="43"/>
      <c r="D97" s="43"/>
    </row>
    <row r="98" spans="1:4" x14ac:dyDescent="0.25">
      <c r="A98" s="42"/>
      <c r="B98" s="43"/>
      <c r="C98" s="43"/>
      <c r="D98" s="43"/>
    </row>
    <row r="99" spans="1:4" x14ac:dyDescent="0.25">
      <c r="A99" s="42"/>
      <c r="B99" s="43"/>
      <c r="C99" s="43"/>
      <c r="D99" s="43"/>
    </row>
    <row r="100" spans="1:4" x14ac:dyDescent="0.25">
      <c r="A100" s="42"/>
      <c r="B100" s="43"/>
      <c r="C100" s="43"/>
      <c r="D100" s="43"/>
    </row>
    <row r="101" spans="1:4" x14ac:dyDescent="0.25">
      <c r="A101" s="42"/>
      <c r="B101" s="43"/>
      <c r="C101" s="43"/>
      <c r="D101" s="43"/>
    </row>
    <row r="102" spans="1:4" x14ac:dyDescent="0.25">
      <c r="A102" s="42"/>
      <c r="B102" s="43"/>
      <c r="C102" s="43"/>
      <c r="D102" s="43"/>
    </row>
    <row r="103" spans="1:4" x14ac:dyDescent="0.25">
      <c r="A103" s="42"/>
      <c r="B103" s="43"/>
      <c r="C103" s="43"/>
      <c r="D103" s="43"/>
    </row>
    <row r="104" spans="1:4" x14ac:dyDescent="0.25">
      <c r="A104" s="42"/>
      <c r="B104" s="43"/>
      <c r="C104" s="43"/>
      <c r="D104" s="43"/>
    </row>
    <row r="105" spans="1:4" x14ac:dyDescent="0.25">
      <c r="A105" s="42"/>
      <c r="B105" s="43"/>
      <c r="C105" s="43"/>
      <c r="D105" s="43"/>
    </row>
    <row r="106" spans="1:4" x14ac:dyDescent="0.25">
      <c r="A106" s="42"/>
      <c r="B106" s="43"/>
      <c r="C106" s="43"/>
      <c r="D106" s="43"/>
    </row>
    <row r="107" spans="1:4" x14ac:dyDescent="0.25">
      <c r="A107" s="42"/>
      <c r="B107" s="43"/>
      <c r="C107" s="43"/>
      <c r="D107" s="43"/>
    </row>
    <row r="108" spans="1:4" x14ac:dyDescent="0.25">
      <c r="A108" s="42"/>
      <c r="B108" s="43"/>
      <c r="C108" s="43"/>
      <c r="D108" s="43"/>
    </row>
    <row r="109" spans="1:4" x14ac:dyDescent="0.25">
      <c r="A109" s="42"/>
      <c r="B109" s="43"/>
      <c r="C109" s="43"/>
      <c r="D109" s="43"/>
    </row>
    <row r="110" spans="1:4" x14ac:dyDescent="0.25">
      <c r="A110" s="42"/>
      <c r="B110" s="43"/>
      <c r="C110" s="43"/>
      <c r="D110" s="43"/>
    </row>
    <row r="111" spans="1:4" x14ac:dyDescent="0.25">
      <c r="A111" s="42"/>
      <c r="B111" s="43"/>
      <c r="C111" s="43"/>
      <c r="D111" s="43"/>
    </row>
    <row r="112" spans="1:4" x14ac:dyDescent="0.25">
      <c r="A112" s="42"/>
      <c r="B112" s="43"/>
      <c r="C112" s="43"/>
      <c r="D112" s="43"/>
    </row>
    <row r="113" spans="1:4" x14ac:dyDescent="0.25">
      <c r="A113" s="42"/>
      <c r="B113" s="43"/>
      <c r="C113" s="43"/>
      <c r="D113" s="43"/>
    </row>
    <row r="114" spans="1:4" x14ac:dyDescent="0.25">
      <c r="A114" s="42"/>
      <c r="B114" s="43"/>
      <c r="C114" s="43"/>
      <c r="D114" s="43"/>
    </row>
    <row r="115" spans="1:4" x14ac:dyDescent="0.25">
      <c r="A115" s="42"/>
      <c r="B115" s="43"/>
      <c r="C115" s="43"/>
      <c r="D115" s="43"/>
    </row>
    <row r="116" spans="1:4" x14ac:dyDescent="0.25">
      <c r="A116" s="42"/>
      <c r="B116" s="43"/>
      <c r="C116" s="43"/>
      <c r="D116" s="43"/>
    </row>
    <row r="117" spans="1:4" x14ac:dyDescent="0.25">
      <c r="A117" s="42"/>
      <c r="B117" s="43"/>
      <c r="C117" s="43"/>
      <c r="D117" s="43"/>
    </row>
    <row r="118" spans="1:4" x14ac:dyDescent="0.25">
      <c r="A118" s="42"/>
      <c r="B118" s="43"/>
      <c r="C118" s="43"/>
      <c r="D118" s="43"/>
    </row>
    <row r="119" spans="1:4" x14ac:dyDescent="0.25">
      <c r="A119" s="42"/>
      <c r="B119" s="43"/>
      <c r="C119" s="43"/>
      <c r="D119" s="43"/>
    </row>
    <row r="120" spans="1:4" x14ac:dyDescent="0.25">
      <c r="A120" s="42"/>
      <c r="B120" s="43"/>
      <c r="C120" s="43"/>
      <c r="D120" s="43"/>
    </row>
    <row r="121" spans="1:4" x14ac:dyDescent="0.25">
      <c r="A121" s="42"/>
      <c r="B121" s="43"/>
      <c r="C121" s="43"/>
      <c r="D121" s="43"/>
    </row>
    <row r="122" spans="1:4" x14ac:dyDescent="0.25">
      <c r="A122" s="42"/>
      <c r="B122" s="43"/>
      <c r="C122" s="43"/>
      <c r="D122" s="43"/>
    </row>
    <row r="123" spans="1:4" x14ac:dyDescent="0.25">
      <c r="A123" s="42"/>
      <c r="B123" s="43"/>
      <c r="C123" s="43"/>
      <c r="D123" s="43"/>
    </row>
    <row r="124" spans="1:4" x14ac:dyDescent="0.25">
      <c r="A124" s="42"/>
      <c r="B124" s="43"/>
      <c r="C124" s="43"/>
      <c r="D124" s="43"/>
    </row>
    <row r="125" spans="1:4" x14ac:dyDescent="0.25">
      <c r="A125" s="42"/>
      <c r="B125" s="43"/>
      <c r="C125" s="43"/>
      <c r="D125" s="43"/>
    </row>
    <row r="126" spans="1:4" x14ac:dyDescent="0.25">
      <c r="A126" s="42"/>
      <c r="B126" s="43"/>
      <c r="C126" s="43"/>
      <c r="D126" s="43"/>
    </row>
    <row r="127" spans="1:4" x14ac:dyDescent="0.25">
      <c r="A127" s="42"/>
      <c r="B127" s="43"/>
      <c r="C127" s="43"/>
      <c r="D127" s="43"/>
    </row>
  </sheetData>
  <mergeCells count="13">
    <mergeCell ref="A59:D59"/>
    <mergeCell ref="A85:D85"/>
    <mergeCell ref="A46:D46"/>
    <mergeCell ref="A88:D88"/>
    <mergeCell ref="A1:D1"/>
    <mergeCell ref="A78:D78"/>
    <mergeCell ref="A8:D8"/>
    <mergeCell ref="A69:D69"/>
    <mergeCell ref="A62:D62"/>
    <mergeCell ref="A3:D3"/>
    <mergeCell ref="A26:D26"/>
    <mergeCell ref="A55:D55"/>
    <mergeCell ref="A15:D15"/>
  </mergeCells>
  <pageMargins left="0.7" right="0.7" top="1.102173913043478" bottom="0.75" header="0.3" footer="0.3"/>
  <pageSetup paperSize="9" scale="75" fitToHeight="0" orientation="landscape" horizontalDpi="300" verticalDpi="300" r:id="rId1"/>
  <headerFooter>
    <oddHeader>&amp;L&amp;22 &amp;G&amp;R&amp;12 ProVu Vista Display
Software Integration Test Request
Document ID : GTD-001263/A
Date : 22-Sep-2026</oddHeader>
    <oddFooter>&amp;L&amp;12GOP 004, Design and Development 
GOP004-F14 Issue No: 2&amp;R&amp;12 &amp;P of &amp;N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4"/>
  <sheetViews>
    <sheetView view="pageBreakPreview" topLeftCell="A112" zoomScale="115" zoomScaleNormal="115" zoomScaleSheetLayoutView="115" zoomScalePageLayoutView="70" workbookViewId="0">
      <selection activeCell="D113" sqref="D113"/>
    </sheetView>
  </sheetViews>
  <sheetFormatPr defaultColWidth="50.77734375" defaultRowHeight="14.4" x14ac:dyDescent="0.3"/>
  <cols>
    <col min="1" max="1" width="8.33203125" style="1" bestFit="1" customWidth="1"/>
    <col min="2" max="2" width="25.44140625" bestFit="1" customWidth="1"/>
    <col min="3" max="3" width="49.5546875" bestFit="1" customWidth="1"/>
    <col min="4" max="4" width="10.88671875" bestFit="1" customWidth="1"/>
    <col min="5" max="5" width="10.5546875" bestFit="1" customWidth="1"/>
    <col min="6" max="6" width="44.88671875" bestFit="1" customWidth="1"/>
    <col min="7" max="7" width="49.77734375" bestFit="1" customWidth="1"/>
    <col min="8" max="8" width="19" bestFit="1" customWidth="1"/>
  </cols>
  <sheetData>
    <row r="1" spans="1:8" x14ac:dyDescent="0.3">
      <c r="A1" s="108" t="s">
        <v>172</v>
      </c>
      <c r="B1" s="101" t="s">
        <v>173</v>
      </c>
      <c r="C1" s="101" t="s">
        <v>174</v>
      </c>
      <c r="D1" s="103" t="s">
        <v>175</v>
      </c>
      <c r="E1" s="103" t="s">
        <v>176</v>
      </c>
      <c r="F1" s="103" t="s">
        <v>177</v>
      </c>
      <c r="G1" s="103" t="s">
        <v>178</v>
      </c>
      <c r="H1" s="28" t="s">
        <v>179</v>
      </c>
    </row>
    <row r="2" spans="1:8" x14ac:dyDescent="0.3">
      <c r="A2" s="93"/>
      <c r="B2" s="93"/>
      <c r="C2" s="93"/>
      <c r="D2" s="93"/>
      <c r="E2" s="93"/>
      <c r="F2" s="93"/>
      <c r="G2" s="93"/>
      <c r="H2" s="28" t="s">
        <v>180</v>
      </c>
    </row>
    <row r="3" spans="1:8" x14ac:dyDescent="0.3">
      <c r="A3" s="26">
        <v>1</v>
      </c>
      <c r="B3" s="99" t="s">
        <v>181</v>
      </c>
      <c r="C3" s="45" t="s">
        <v>182</v>
      </c>
      <c r="D3" s="27" t="s">
        <v>183</v>
      </c>
      <c r="E3" s="27" t="s">
        <v>184</v>
      </c>
      <c r="F3" s="27" t="s">
        <v>185</v>
      </c>
      <c r="G3" s="25" t="s">
        <v>186</v>
      </c>
      <c r="H3" s="22" t="s">
        <v>186</v>
      </c>
    </row>
    <row r="4" spans="1:8" x14ac:dyDescent="0.3">
      <c r="A4" s="26">
        <v>2</v>
      </c>
      <c r="B4" s="100"/>
      <c r="C4" s="45" t="s">
        <v>187</v>
      </c>
      <c r="D4" s="27" t="s">
        <v>183</v>
      </c>
      <c r="E4" s="27" t="s">
        <v>184</v>
      </c>
      <c r="F4" s="27" t="s">
        <v>188</v>
      </c>
      <c r="G4" s="25" t="s">
        <v>189</v>
      </c>
      <c r="H4" s="22">
        <v>107</v>
      </c>
    </row>
    <row r="5" spans="1:8" ht="26.4" customHeight="1" x14ac:dyDescent="0.3">
      <c r="A5" s="26">
        <v>3</v>
      </c>
      <c r="B5" s="100"/>
      <c r="C5" s="45" t="s">
        <v>190</v>
      </c>
      <c r="D5" s="27" t="s">
        <v>184</v>
      </c>
      <c r="E5" s="27" t="s">
        <v>183</v>
      </c>
      <c r="F5" s="27" t="s">
        <v>188</v>
      </c>
      <c r="G5" s="27" t="s">
        <v>191</v>
      </c>
      <c r="H5" s="22">
        <v>120</v>
      </c>
    </row>
    <row r="6" spans="1:8" x14ac:dyDescent="0.3">
      <c r="A6" s="26">
        <v>4</v>
      </c>
      <c r="B6" s="100"/>
      <c r="C6" s="45" t="s">
        <v>192</v>
      </c>
      <c r="D6" s="27" t="s">
        <v>183</v>
      </c>
      <c r="E6" s="27" t="s">
        <v>184</v>
      </c>
      <c r="F6" s="27" t="s">
        <v>185</v>
      </c>
      <c r="G6" s="25" t="s">
        <v>186</v>
      </c>
      <c r="H6" s="22" t="s">
        <v>186</v>
      </c>
    </row>
    <row r="7" spans="1:8" x14ac:dyDescent="0.3">
      <c r="A7" s="26">
        <v>5</v>
      </c>
      <c r="B7" s="100"/>
      <c r="C7" s="45" t="s">
        <v>193</v>
      </c>
      <c r="D7" s="27" t="s">
        <v>184</v>
      </c>
      <c r="E7" s="27" t="s">
        <v>183</v>
      </c>
      <c r="F7" s="27" t="s">
        <v>194</v>
      </c>
      <c r="G7" s="25" t="s">
        <v>195</v>
      </c>
      <c r="H7" s="22" t="s">
        <v>186</v>
      </c>
    </row>
    <row r="8" spans="1:8" x14ac:dyDescent="0.3">
      <c r="A8" s="26">
        <v>6</v>
      </c>
      <c r="B8" s="100"/>
      <c r="C8" s="45" t="s">
        <v>196</v>
      </c>
      <c r="D8" s="27" t="s">
        <v>184</v>
      </c>
      <c r="E8" s="27" t="s">
        <v>183</v>
      </c>
      <c r="F8" s="27" t="s">
        <v>194</v>
      </c>
      <c r="G8" s="25" t="s">
        <v>196</v>
      </c>
      <c r="H8" s="22" t="s">
        <v>186</v>
      </c>
    </row>
    <row r="9" spans="1:8" x14ac:dyDescent="0.3">
      <c r="A9" s="97">
        <v>7</v>
      </c>
      <c r="B9" s="100"/>
      <c r="C9" s="102" t="s">
        <v>197</v>
      </c>
      <c r="D9" s="94" t="s">
        <v>184</v>
      </c>
      <c r="E9" s="94" t="s">
        <v>183</v>
      </c>
      <c r="F9" s="94" t="s">
        <v>194</v>
      </c>
      <c r="G9" s="27" t="s">
        <v>198</v>
      </c>
      <c r="H9" s="92" t="s">
        <v>186</v>
      </c>
    </row>
    <row r="10" spans="1:8" x14ac:dyDescent="0.3">
      <c r="A10" s="93"/>
      <c r="B10" s="100"/>
      <c r="C10" s="96"/>
      <c r="D10" s="93"/>
      <c r="E10" s="93"/>
      <c r="F10" s="93"/>
      <c r="G10" s="27" t="s">
        <v>199</v>
      </c>
      <c r="H10" s="93"/>
    </row>
    <row r="11" spans="1:8" ht="26.4" customHeight="1" x14ac:dyDescent="0.3">
      <c r="A11" s="26">
        <v>8</v>
      </c>
      <c r="B11" s="93"/>
      <c r="C11" s="45" t="s">
        <v>200</v>
      </c>
      <c r="D11" s="27" t="s">
        <v>201</v>
      </c>
      <c r="E11" s="27" t="s">
        <v>183</v>
      </c>
      <c r="F11" s="27" t="s">
        <v>188</v>
      </c>
      <c r="G11" s="27" t="s">
        <v>202</v>
      </c>
      <c r="H11" s="22" t="s">
        <v>186</v>
      </c>
    </row>
    <row r="12" spans="1:8" x14ac:dyDescent="0.3">
      <c r="A12" s="26">
        <v>20</v>
      </c>
      <c r="B12" s="99" t="s">
        <v>203</v>
      </c>
      <c r="C12" s="45" t="s">
        <v>204</v>
      </c>
      <c r="D12" s="27" t="s">
        <v>183</v>
      </c>
      <c r="E12" s="27" t="s">
        <v>184</v>
      </c>
      <c r="F12" s="27" t="s">
        <v>185</v>
      </c>
      <c r="G12" s="25" t="s">
        <v>186</v>
      </c>
      <c r="H12" s="22" t="s">
        <v>186</v>
      </c>
    </row>
    <row r="13" spans="1:8" x14ac:dyDescent="0.3">
      <c r="A13" s="26">
        <v>21</v>
      </c>
      <c r="B13" s="100"/>
      <c r="C13" s="45" t="s">
        <v>205</v>
      </c>
      <c r="D13" s="27" t="s">
        <v>183</v>
      </c>
      <c r="E13" s="27" t="s">
        <v>184</v>
      </c>
      <c r="F13" s="27" t="s">
        <v>185</v>
      </c>
      <c r="G13" s="25" t="s">
        <v>186</v>
      </c>
      <c r="H13" s="22" t="s">
        <v>186</v>
      </c>
    </row>
    <row r="14" spans="1:8" x14ac:dyDescent="0.3">
      <c r="A14" s="26">
        <v>22</v>
      </c>
      <c r="B14" s="100"/>
      <c r="C14" s="45" t="s">
        <v>206</v>
      </c>
      <c r="D14" s="27" t="s">
        <v>183</v>
      </c>
      <c r="E14" s="27" t="s">
        <v>184</v>
      </c>
      <c r="F14" s="27" t="s">
        <v>185</v>
      </c>
      <c r="G14" s="25" t="s">
        <v>186</v>
      </c>
      <c r="H14" s="22" t="s">
        <v>186</v>
      </c>
    </row>
    <row r="15" spans="1:8" x14ac:dyDescent="0.3">
      <c r="A15" s="26">
        <v>23</v>
      </c>
      <c r="B15" s="100"/>
      <c r="C15" s="45" t="s">
        <v>207</v>
      </c>
      <c r="D15" s="27" t="s">
        <v>183</v>
      </c>
      <c r="E15" s="27" t="s">
        <v>184</v>
      </c>
      <c r="F15" s="27" t="s">
        <v>185</v>
      </c>
      <c r="G15" s="25" t="s">
        <v>186</v>
      </c>
      <c r="H15" s="22" t="s">
        <v>186</v>
      </c>
    </row>
    <row r="16" spans="1:8" x14ac:dyDescent="0.3">
      <c r="A16" s="26">
        <v>24</v>
      </c>
      <c r="B16" s="100"/>
      <c r="C16" s="45" t="s">
        <v>208</v>
      </c>
      <c r="D16" s="27" t="s">
        <v>183</v>
      </c>
      <c r="E16" s="27" t="s">
        <v>184</v>
      </c>
      <c r="F16" s="27" t="s">
        <v>185</v>
      </c>
      <c r="G16" s="25" t="s">
        <v>186</v>
      </c>
      <c r="H16" s="22" t="s">
        <v>186</v>
      </c>
    </row>
    <row r="17" spans="1:8" x14ac:dyDescent="0.3">
      <c r="A17" s="26">
        <v>25</v>
      </c>
      <c r="B17" s="100"/>
      <c r="C17" s="45" t="s">
        <v>209</v>
      </c>
      <c r="D17" s="27" t="s">
        <v>183</v>
      </c>
      <c r="E17" s="27" t="s">
        <v>184</v>
      </c>
      <c r="F17" s="27" t="s">
        <v>185</v>
      </c>
      <c r="G17" s="25" t="s">
        <v>186</v>
      </c>
      <c r="H17" s="22" t="s">
        <v>186</v>
      </c>
    </row>
    <row r="18" spans="1:8" x14ac:dyDescent="0.3">
      <c r="A18" s="97">
        <v>26</v>
      </c>
      <c r="B18" s="100"/>
      <c r="C18" s="102" t="s">
        <v>210</v>
      </c>
      <c r="D18" s="94" t="s">
        <v>184</v>
      </c>
      <c r="E18" s="94" t="s">
        <v>183</v>
      </c>
      <c r="F18" s="94" t="s">
        <v>194</v>
      </c>
      <c r="G18" s="27" t="s">
        <v>211</v>
      </c>
      <c r="H18" s="92" t="s">
        <v>186</v>
      </c>
    </row>
    <row r="19" spans="1:8" x14ac:dyDescent="0.3">
      <c r="A19" s="93"/>
      <c r="B19" s="100"/>
      <c r="C19" s="96"/>
      <c r="D19" s="93"/>
      <c r="E19" s="93"/>
      <c r="F19" s="93"/>
      <c r="G19" s="27" t="s">
        <v>212</v>
      </c>
      <c r="H19" s="93"/>
    </row>
    <row r="20" spans="1:8" x14ac:dyDescent="0.3">
      <c r="A20" s="97">
        <v>27</v>
      </c>
      <c r="B20" s="100"/>
      <c r="C20" s="102" t="s">
        <v>213</v>
      </c>
      <c r="D20" s="94" t="s">
        <v>184</v>
      </c>
      <c r="E20" s="94" t="s">
        <v>183</v>
      </c>
      <c r="F20" s="94" t="s">
        <v>194</v>
      </c>
      <c r="G20" s="27" t="s">
        <v>214</v>
      </c>
      <c r="H20" s="92" t="s">
        <v>186</v>
      </c>
    </row>
    <row r="21" spans="1:8" x14ac:dyDescent="0.3">
      <c r="A21" s="93"/>
      <c r="B21" s="100"/>
      <c r="C21" s="96"/>
      <c r="D21" s="93"/>
      <c r="E21" s="93"/>
      <c r="F21" s="93"/>
      <c r="G21" s="27" t="s">
        <v>212</v>
      </c>
      <c r="H21" s="93"/>
    </row>
    <row r="22" spans="1:8" x14ac:dyDescent="0.3">
      <c r="A22" s="97">
        <v>28</v>
      </c>
      <c r="B22" s="100"/>
      <c r="C22" s="102" t="s">
        <v>215</v>
      </c>
      <c r="D22" s="94" t="s">
        <v>184</v>
      </c>
      <c r="E22" s="94" t="s">
        <v>183</v>
      </c>
      <c r="F22" s="94" t="s">
        <v>194</v>
      </c>
      <c r="G22" s="27" t="s">
        <v>216</v>
      </c>
      <c r="H22" s="92" t="s">
        <v>186</v>
      </c>
    </row>
    <row r="23" spans="1:8" x14ac:dyDescent="0.3">
      <c r="A23" s="93"/>
      <c r="B23" s="100"/>
      <c r="C23" s="96"/>
      <c r="D23" s="93"/>
      <c r="E23" s="93"/>
      <c r="F23" s="93"/>
      <c r="G23" s="27" t="s">
        <v>212</v>
      </c>
      <c r="H23" s="93"/>
    </row>
    <row r="24" spans="1:8" x14ac:dyDescent="0.3">
      <c r="A24" s="97">
        <v>29</v>
      </c>
      <c r="B24" s="100"/>
      <c r="C24" s="102" t="s">
        <v>217</v>
      </c>
      <c r="D24" s="94" t="s">
        <v>184</v>
      </c>
      <c r="E24" s="94" t="s">
        <v>183</v>
      </c>
      <c r="F24" s="94" t="s">
        <v>194</v>
      </c>
      <c r="G24" s="27" t="s">
        <v>218</v>
      </c>
      <c r="H24" s="92" t="s">
        <v>186</v>
      </c>
    </row>
    <row r="25" spans="1:8" x14ac:dyDescent="0.3">
      <c r="A25" s="93"/>
      <c r="B25" s="100"/>
      <c r="C25" s="96"/>
      <c r="D25" s="93"/>
      <c r="E25" s="93"/>
      <c r="F25" s="93"/>
      <c r="G25" s="27" t="s">
        <v>219</v>
      </c>
      <c r="H25" s="93"/>
    </row>
    <row r="26" spans="1:8" x14ac:dyDescent="0.3">
      <c r="A26" s="98">
        <v>30</v>
      </c>
      <c r="B26" s="100"/>
      <c r="C26" s="102" t="s">
        <v>220</v>
      </c>
      <c r="D26" s="94" t="s">
        <v>184</v>
      </c>
      <c r="E26" s="94" t="s">
        <v>183</v>
      </c>
      <c r="F26" s="94" t="s">
        <v>194</v>
      </c>
      <c r="G26" s="27" t="s">
        <v>221</v>
      </c>
      <c r="H26" s="92" t="s">
        <v>186</v>
      </c>
    </row>
    <row r="27" spans="1:8" x14ac:dyDescent="0.3">
      <c r="A27" s="93"/>
      <c r="B27" s="100"/>
      <c r="C27" s="96"/>
      <c r="D27" s="93"/>
      <c r="E27" s="93"/>
      <c r="F27" s="93"/>
      <c r="G27" s="27" t="s">
        <v>219</v>
      </c>
      <c r="H27" s="93"/>
    </row>
    <row r="28" spans="1:8" x14ac:dyDescent="0.3">
      <c r="A28" s="97">
        <v>31</v>
      </c>
      <c r="B28" s="100"/>
      <c r="C28" s="102" t="s">
        <v>222</v>
      </c>
      <c r="D28" s="94" t="s">
        <v>184</v>
      </c>
      <c r="E28" s="94" t="s">
        <v>183</v>
      </c>
      <c r="F28" s="94" t="s">
        <v>194</v>
      </c>
      <c r="G28" s="27" t="s">
        <v>223</v>
      </c>
      <c r="H28" s="92" t="s">
        <v>186</v>
      </c>
    </row>
    <row r="29" spans="1:8" x14ac:dyDescent="0.3">
      <c r="A29" s="93"/>
      <c r="B29" s="100"/>
      <c r="C29" s="96"/>
      <c r="D29" s="93"/>
      <c r="E29" s="93"/>
      <c r="F29" s="93"/>
      <c r="G29" s="27" t="s">
        <v>219</v>
      </c>
      <c r="H29" s="93"/>
    </row>
    <row r="30" spans="1:8" x14ac:dyDescent="0.3">
      <c r="A30" s="97">
        <v>32</v>
      </c>
      <c r="B30" s="100"/>
      <c r="C30" s="102" t="s">
        <v>224</v>
      </c>
      <c r="D30" s="94" t="s">
        <v>184</v>
      </c>
      <c r="E30" s="94" t="s">
        <v>183</v>
      </c>
      <c r="F30" s="94" t="s">
        <v>194</v>
      </c>
      <c r="G30" s="27" t="s">
        <v>211</v>
      </c>
      <c r="H30" s="92" t="s">
        <v>186</v>
      </c>
    </row>
    <row r="31" spans="1:8" x14ac:dyDescent="0.3">
      <c r="A31" s="93"/>
      <c r="B31" s="100"/>
      <c r="C31" s="96"/>
      <c r="D31" s="93"/>
      <c r="E31" s="93"/>
      <c r="F31" s="93"/>
      <c r="G31" s="27" t="s">
        <v>212</v>
      </c>
      <c r="H31" s="93"/>
    </row>
    <row r="32" spans="1:8" x14ac:dyDescent="0.3">
      <c r="A32" s="26">
        <v>33</v>
      </c>
      <c r="B32" s="100"/>
      <c r="C32" s="45" t="s">
        <v>225</v>
      </c>
      <c r="D32" s="27" t="s">
        <v>183</v>
      </c>
      <c r="E32" s="27" t="s">
        <v>184</v>
      </c>
      <c r="F32" s="27" t="s">
        <v>226</v>
      </c>
      <c r="G32" s="27" t="s">
        <v>227</v>
      </c>
      <c r="H32" s="22">
        <v>46</v>
      </c>
    </row>
    <row r="33" spans="1:8" x14ac:dyDescent="0.3">
      <c r="A33" s="97">
        <v>34</v>
      </c>
      <c r="B33" s="100"/>
      <c r="C33" s="102" t="s">
        <v>228</v>
      </c>
      <c r="D33" s="94" t="s">
        <v>184</v>
      </c>
      <c r="E33" s="94" t="s">
        <v>183</v>
      </c>
      <c r="F33" s="94" t="s">
        <v>194</v>
      </c>
      <c r="G33" s="27" t="s">
        <v>218</v>
      </c>
      <c r="H33" s="92" t="s">
        <v>186</v>
      </c>
    </row>
    <row r="34" spans="1:8" x14ac:dyDescent="0.3">
      <c r="A34" s="93"/>
      <c r="B34" s="100"/>
      <c r="C34" s="96"/>
      <c r="D34" s="93"/>
      <c r="E34" s="93"/>
      <c r="F34" s="93"/>
      <c r="G34" s="27" t="s">
        <v>219</v>
      </c>
      <c r="H34" s="93"/>
    </row>
    <row r="35" spans="1:8" x14ac:dyDescent="0.3">
      <c r="A35" s="97">
        <v>35</v>
      </c>
      <c r="B35" s="100"/>
      <c r="C35" s="102" t="s">
        <v>229</v>
      </c>
      <c r="D35" s="94" t="s">
        <v>184</v>
      </c>
      <c r="E35" s="94" t="s">
        <v>183</v>
      </c>
      <c r="F35" s="94" t="s">
        <v>194</v>
      </c>
      <c r="G35" s="27" t="s">
        <v>221</v>
      </c>
      <c r="H35" s="92" t="s">
        <v>186</v>
      </c>
    </row>
    <row r="36" spans="1:8" x14ac:dyDescent="0.3">
      <c r="A36" s="93"/>
      <c r="B36" s="100"/>
      <c r="C36" s="96"/>
      <c r="D36" s="93"/>
      <c r="E36" s="93"/>
      <c r="F36" s="93"/>
      <c r="G36" s="27" t="s">
        <v>219</v>
      </c>
      <c r="H36" s="93"/>
    </row>
    <row r="37" spans="1:8" x14ac:dyDescent="0.3">
      <c r="A37" s="97">
        <v>36</v>
      </c>
      <c r="B37" s="100"/>
      <c r="C37" s="102" t="s">
        <v>230</v>
      </c>
      <c r="D37" s="94" t="s">
        <v>184</v>
      </c>
      <c r="E37" s="94" t="s">
        <v>183</v>
      </c>
      <c r="F37" s="94" t="s">
        <v>194</v>
      </c>
      <c r="G37" s="27" t="s">
        <v>223</v>
      </c>
      <c r="H37" s="92" t="s">
        <v>186</v>
      </c>
    </row>
    <row r="38" spans="1:8" x14ac:dyDescent="0.3">
      <c r="A38" s="93"/>
      <c r="B38" s="93"/>
      <c r="C38" s="96"/>
      <c r="D38" s="93"/>
      <c r="E38" s="93"/>
      <c r="F38" s="93"/>
      <c r="G38" s="27" t="s">
        <v>219</v>
      </c>
      <c r="H38" s="93"/>
    </row>
    <row r="39" spans="1:8" x14ac:dyDescent="0.3">
      <c r="A39" s="26">
        <v>50</v>
      </c>
      <c r="B39" s="99" t="s">
        <v>231</v>
      </c>
      <c r="C39" s="45" t="s">
        <v>232</v>
      </c>
      <c r="D39" s="27" t="s">
        <v>183</v>
      </c>
      <c r="E39" s="27" t="s">
        <v>184</v>
      </c>
      <c r="F39" s="27" t="s">
        <v>233</v>
      </c>
      <c r="G39" s="25" t="s">
        <v>234</v>
      </c>
      <c r="H39" s="22" t="s">
        <v>186</v>
      </c>
    </row>
    <row r="40" spans="1:8" x14ac:dyDescent="0.3">
      <c r="A40" s="26">
        <v>51</v>
      </c>
      <c r="B40" s="100"/>
      <c r="C40" s="45" t="s">
        <v>235</v>
      </c>
      <c r="D40" s="27" t="s">
        <v>183</v>
      </c>
      <c r="E40" s="27" t="s">
        <v>184</v>
      </c>
      <c r="F40" s="27" t="s">
        <v>233</v>
      </c>
      <c r="G40" s="25" t="s">
        <v>236</v>
      </c>
      <c r="H40" s="22" t="s">
        <v>186</v>
      </c>
    </row>
    <row r="41" spans="1:8" x14ac:dyDescent="0.3">
      <c r="A41" s="26">
        <v>52</v>
      </c>
      <c r="B41" s="100"/>
      <c r="C41" s="45" t="s">
        <v>237</v>
      </c>
      <c r="D41" s="27" t="s">
        <v>183</v>
      </c>
      <c r="E41" s="27" t="s">
        <v>184</v>
      </c>
      <c r="F41" s="27" t="s">
        <v>233</v>
      </c>
      <c r="G41" s="25" t="s">
        <v>238</v>
      </c>
      <c r="H41" s="22" t="s">
        <v>186</v>
      </c>
    </row>
    <row r="42" spans="1:8" x14ac:dyDescent="0.3">
      <c r="A42" s="26">
        <v>53</v>
      </c>
      <c r="B42" s="100"/>
      <c r="C42" s="45" t="s">
        <v>239</v>
      </c>
      <c r="D42" s="27" t="s">
        <v>183</v>
      </c>
      <c r="E42" s="27" t="s">
        <v>184</v>
      </c>
      <c r="F42" s="27" t="s">
        <v>185</v>
      </c>
      <c r="G42" s="25" t="s">
        <v>186</v>
      </c>
      <c r="H42" s="22" t="s">
        <v>186</v>
      </c>
    </row>
    <row r="43" spans="1:8" ht="26.4" customHeight="1" x14ac:dyDescent="0.3">
      <c r="A43" s="26">
        <v>54</v>
      </c>
      <c r="B43" s="100"/>
      <c r="C43" s="46" t="s">
        <v>240</v>
      </c>
      <c r="D43" s="27" t="s">
        <v>183</v>
      </c>
      <c r="E43" s="27" t="s">
        <v>184</v>
      </c>
      <c r="F43" s="27" t="s">
        <v>233</v>
      </c>
      <c r="G43" s="25" t="s">
        <v>241</v>
      </c>
      <c r="H43" s="22" t="s">
        <v>186</v>
      </c>
    </row>
    <row r="44" spans="1:8" x14ac:dyDescent="0.3">
      <c r="A44" s="26">
        <v>55</v>
      </c>
      <c r="B44" s="100"/>
      <c r="C44" s="45" t="s">
        <v>242</v>
      </c>
      <c r="D44" s="27" t="s">
        <v>183</v>
      </c>
      <c r="E44" s="27" t="s">
        <v>184</v>
      </c>
      <c r="F44" s="27" t="s">
        <v>233</v>
      </c>
      <c r="G44" s="25" t="s">
        <v>243</v>
      </c>
      <c r="H44" s="25">
        <v>80</v>
      </c>
    </row>
    <row r="45" spans="1:8" x14ac:dyDescent="0.3">
      <c r="A45" s="26">
        <v>56</v>
      </c>
      <c r="B45" s="100"/>
      <c r="C45" s="45" t="s">
        <v>244</v>
      </c>
      <c r="D45" s="27" t="s">
        <v>183</v>
      </c>
      <c r="E45" s="27" t="s">
        <v>184</v>
      </c>
      <c r="F45" s="27" t="s">
        <v>233</v>
      </c>
      <c r="G45" s="25" t="s">
        <v>245</v>
      </c>
      <c r="H45" s="25">
        <v>38</v>
      </c>
    </row>
    <row r="46" spans="1:8" ht="26.4" customHeight="1" x14ac:dyDescent="0.3">
      <c r="A46" s="26">
        <v>57</v>
      </c>
      <c r="B46" s="100"/>
      <c r="C46" s="45" t="s">
        <v>246</v>
      </c>
      <c r="D46" s="27" t="s">
        <v>183</v>
      </c>
      <c r="E46" s="27" t="s">
        <v>184</v>
      </c>
      <c r="F46" s="27" t="s">
        <v>233</v>
      </c>
      <c r="G46" s="27" t="s">
        <v>247</v>
      </c>
      <c r="H46" s="25" t="s">
        <v>186</v>
      </c>
    </row>
    <row r="47" spans="1:8" x14ac:dyDescent="0.3">
      <c r="A47" s="26">
        <v>58</v>
      </c>
      <c r="B47" s="100"/>
      <c r="C47" s="45" t="s">
        <v>248</v>
      </c>
      <c r="D47" s="27" t="s">
        <v>183</v>
      </c>
      <c r="E47" s="27" t="s">
        <v>184</v>
      </c>
      <c r="F47" s="27" t="s">
        <v>233</v>
      </c>
      <c r="G47" s="25" t="s">
        <v>249</v>
      </c>
      <c r="H47" s="25" t="s">
        <v>186</v>
      </c>
    </row>
    <row r="48" spans="1:8" x14ac:dyDescent="0.3">
      <c r="A48" s="26">
        <v>59</v>
      </c>
      <c r="B48" s="100"/>
      <c r="C48" s="45" t="s">
        <v>250</v>
      </c>
      <c r="D48" s="27" t="s">
        <v>183</v>
      </c>
      <c r="E48" s="27" t="s">
        <v>184</v>
      </c>
      <c r="F48" s="27" t="s">
        <v>233</v>
      </c>
      <c r="G48" s="25" t="s">
        <v>251</v>
      </c>
      <c r="H48" s="25" t="s">
        <v>186</v>
      </c>
    </row>
    <row r="49" spans="1:8" x14ac:dyDescent="0.3">
      <c r="A49" s="26">
        <v>60</v>
      </c>
      <c r="B49" s="100"/>
      <c r="C49" s="45" t="s">
        <v>252</v>
      </c>
      <c r="D49" s="27" t="s">
        <v>183</v>
      </c>
      <c r="E49" s="27" t="s">
        <v>184</v>
      </c>
      <c r="F49" s="27" t="s">
        <v>233</v>
      </c>
      <c r="G49" s="27" t="s">
        <v>253</v>
      </c>
      <c r="H49" s="25" t="s">
        <v>186</v>
      </c>
    </row>
    <row r="50" spans="1:8" x14ac:dyDescent="0.3">
      <c r="A50" s="26">
        <v>61</v>
      </c>
      <c r="B50" s="93"/>
      <c r="C50" s="45" t="s">
        <v>254</v>
      </c>
      <c r="D50" s="27" t="s">
        <v>183</v>
      </c>
      <c r="E50" s="27" t="s">
        <v>184</v>
      </c>
      <c r="F50" s="27" t="s">
        <v>233</v>
      </c>
      <c r="G50" s="27" t="s">
        <v>255</v>
      </c>
      <c r="H50" s="25" t="s">
        <v>186</v>
      </c>
    </row>
    <row r="51" spans="1:8" x14ac:dyDescent="0.3">
      <c r="A51" s="26">
        <v>70</v>
      </c>
      <c r="B51" s="99" t="s">
        <v>256</v>
      </c>
      <c r="C51" s="45" t="s">
        <v>257</v>
      </c>
      <c r="D51" s="27" t="s">
        <v>183</v>
      </c>
      <c r="E51" s="27" t="s">
        <v>184</v>
      </c>
      <c r="F51" s="27" t="s">
        <v>233</v>
      </c>
      <c r="G51" s="25" t="s">
        <v>257</v>
      </c>
      <c r="H51" s="22" t="s">
        <v>186</v>
      </c>
    </row>
    <row r="52" spans="1:8" x14ac:dyDescent="0.3">
      <c r="A52" s="26">
        <v>71</v>
      </c>
      <c r="B52" s="100"/>
      <c r="C52" s="45" t="s">
        <v>258</v>
      </c>
      <c r="D52" s="27" t="s">
        <v>183</v>
      </c>
      <c r="E52" s="27" t="s">
        <v>184</v>
      </c>
      <c r="F52" s="27" t="s">
        <v>233</v>
      </c>
      <c r="G52" s="25" t="s">
        <v>258</v>
      </c>
      <c r="H52" s="22" t="s">
        <v>186</v>
      </c>
    </row>
    <row r="53" spans="1:8" x14ac:dyDescent="0.3">
      <c r="A53" s="26">
        <v>72</v>
      </c>
      <c r="B53" s="100"/>
      <c r="C53" s="45" t="s">
        <v>259</v>
      </c>
      <c r="D53" s="27" t="s">
        <v>183</v>
      </c>
      <c r="E53" s="27" t="s">
        <v>184</v>
      </c>
      <c r="F53" s="27" t="s">
        <v>233</v>
      </c>
      <c r="G53" s="25" t="s">
        <v>260</v>
      </c>
      <c r="H53" s="22" t="s">
        <v>186</v>
      </c>
    </row>
    <row r="54" spans="1:8" x14ac:dyDescent="0.3">
      <c r="A54" s="26">
        <v>73</v>
      </c>
      <c r="B54" s="100"/>
      <c r="C54" s="45" t="s">
        <v>261</v>
      </c>
      <c r="D54" s="27" t="s">
        <v>183</v>
      </c>
      <c r="E54" s="27" t="s">
        <v>184</v>
      </c>
      <c r="F54" s="27" t="s">
        <v>233</v>
      </c>
      <c r="G54" s="25" t="s">
        <v>262</v>
      </c>
      <c r="H54" s="22" t="s">
        <v>186</v>
      </c>
    </row>
    <row r="55" spans="1:8" x14ac:dyDescent="0.3">
      <c r="A55" s="26">
        <v>74</v>
      </c>
      <c r="B55" s="100"/>
      <c r="C55" s="45" t="s">
        <v>263</v>
      </c>
      <c r="D55" s="27" t="s">
        <v>183</v>
      </c>
      <c r="E55" s="27" t="s">
        <v>184</v>
      </c>
      <c r="F55" s="27" t="s">
        <v>233</v>
      </c>
      <c r="G55" s="25" t="s">
        <v>264</v>
      </c>
      <c r="H55" s="22" t="s">
        <v>186</v>
      </c>
    </row>
    <row r="56" spans="1:8" x14ac:dyDescent="0.3">
      <c r="A56" s="26">
        <v>75</v>
      </c>
      <c r="B56" s="100"/>
      <c r="C56" s="45" t="s">
        <v>265</v>
      </c>
      <c r="D56" s="27" t="s">
        <v>183</v>
      </c>
      <c r="E56" s="27" t="s">
        <v>184</v>
      </c>
      <c r="F56" s="27" t="s">
        <v>233</v>
      </c>
      <c r="G56" s="25" t="s">
        <v>266</v>
      </c>
      <c r="H56" s="22" t="s">
        <v>186</v>
      </c>
    </row>
    <row r="57" spans="1:8" x14ac:dyDescent="0.3">
      <c r="A57" s="26">
        <v>76</v>
      </c>
      <c r="B57" s="93"/>
      <c r="C57" s="45" t="s">
        <v>267</v>
      </c>
      <c r="D57" s="27" t="s">
        <v>183</v>
      </c>
      <c r="E57" s="27" t="s">
        <v>184</v>
      </c>
      <c r="F57" s="27" t="s">
        <v>233</v>
      </c>
      <c r="G57" s="25" t="s">
        <v>268</v>
      </c>
      <c r="H57" s="22" t="s">
        <v>186</v>
      </c>
    </row>
    <row r="58" spans="1:8" x14ac:dyDescent="0.3">
      <c r="A58" s="26">
        <v>90</v>
      </c>
      <c r="B58" s="99" t="s">
        <v>269</v>
      </c>
      <c r="C58" s="45" t="s">
        <v>270</v>
      </c>
      <c r="D58" s="27" t="s">
        <v>183</v>
      </c>
      <c r="E58" s="27" t="s">
        <v>184</v>
      </c>
      <c r="F58" s="27" t="s">
        <v>233</v>
      </c>
      <c r="G58" s="25" t="s">
        <v>271</v>
      </c>
      <c r="H58" s="22" t="s">
        <v>186</v>
      </c>
    </row>
    <row r="59" spans="1:8" x14ac:dyDescent="0.3">
      <c r="A59" s="26">
        <v>91</v>
      </c>
      <c r="B59" s="100"/>
      <c r="C59" s="45" t="s">
        <v>272</v>
      </c>
      <c r="D59" s="27" t="s">
        <v>183</v>
      </c>
      <c r="E59" s="27" t="s">
        <v>184</v>
      </c>
      <c r="F59" s="27" t="s">
        <v>233</v>
      </c>
      <c r="G59" s="25" t="s">
        <v>273</v>
      </c>
      <c r="H59" s="22" t="s">
        <v>186</v>
      </c>
    </row>
    <row r="60" spans="1:8" x14ac:dyDescent="0.3">
      <c r="A60" s="26">
        <v>92</v>
      </c>
      <c r="B60" s="100"/>
      <c r="C60" s="45" t="s">
        <v>274</v>
      </c>
      <c r="D60" s="27" t="s">
        <v>183</v>
      </c>
      <c r="E60" s="27" t="s">
        <v>184</v>
      </c>
      <c r="F60" s="27" t="s">
        <v>233</v>
      </c>
      <c r="G60" s="25" t="s">
        <v>275</v>
      </c>
      <c r="H60" s="22" t="s">
        <v>186</v>
      </c>
    </row>
    <row r="61" spans="1:8" ht="26.4" customHeight="1" x14ac:dyDescent="0.3">
      <c r="A61" s="26">
        <v>93</v>
      </c>
      <c r="B61" s="100"/>
      <c r="C61" s="45" t="s">
        <v>276</v>
      </c>
      <c r="D61" s="27" t="s">
        <v>184</v>
      </c>
      <c r="E61" s="27" t="s">
        <v>183</v>
      </c>
      <c r="F61" s="27" t="s">
        <v>233</v>
      </c>
      <c r="G61" s="27" t="s">
        <v>277</v>
      </c>
      <c r="H61" s="22">
        <v>127</v>
      </c>
    </row>
    <row r="62" spans="1:8" x14ac:dyDescent="0.3">
      <c r="A62" s="26">
        <v>94</v>
      </c>
      <c r="B62" s="100"/>
      <c r="C62" s="45" t="s">
        <v>278</v>
      </c>
      <c r="D62" s="27" t="s">
        <v>183</v>
      </c>
      <c r="E62" s="27" t="s">
        <v>184</v>
      </c>
      <c r="F62" s="27" t="s">
        <v>233</v>
      </c>
      <c r="G62" s="25" t="s">
        <v>279</v>
      </c>
      <c r="H62" s="22">
        <v>92</v>
      </c>
    </row>
    <row r="63" spans="1:8" ht="26.4" customHeight="1" x14ac:dyDescent="0.3">
      <c r="A63" s="26">
        <v>95</v>
      </c>
      <c r="B63" s="100"/>
      <c r="C63" s="45" t="s">
        <v>280</v>
      </c>
      <c r="D63" s="27" t="s">
        <v>184</v>
      </c>
      <c r="E63" s="27" t="s">
        <v>183</v>
      </c>
      <c r="F63" s="27" t="s">
        <v>233</v>
      </c>
      <c r="G63" s="27" t="s">
        <v>281</v>
      </c>
      <c r="H63" s="22">
        <v>127</v>
      </c>
    </row>
    <row r="64" spans="1:8" x14ac:dyDescent="0.3">
      <c r="A64" s="26">
        <v>96</v>
      </c>
      <c r="B64" s="93"/>
      <c r="C64" s="45" t="s">
        <v>282</v>
      </c>
      <c r="D64" s="27" t="s">
        <v>183</v>
      </c>
      <c r="E64" s="27" t="s">
        <v>184</v>
      </c>
      <c r="F64" s="27" t="s">
        <v>233</v>
      </c>
      <c r="G64" s="25" t="s">
        <v>283</v>
      </c>
      <c r="H64" s="22">
        <v>116</v>
      </c>
    </row>
    <row r="65" spans="1:8" x14ac:dyDescent="0.3">
      <c r="A65" s="26">
        <v>110</v>
      </c>
      <c r="B65" s="99" t="s">
        <v>284</v>
      </c>
      <c r="C65" s="45" t="s">
        <v>285</v>
      </c>
      <c r="D65" s="27" t="s">
        <v>184</v>
      </c>
      <c r="E65" s="27" t="s">
        <v>183</v>
      </c>
      <c r="F65" s="27" t="s">
        <v>194</v>
      </c>
      <c r="G65" s="25" t="s">
        <v>286</v>
      </c>
      <c r="H65" s="22" t="s">
        <v>186</v>
      </c>
    </row>
    <row r="66" spans="1:8" x14ac:dyDescent="0.3">
      <c r="A66" s="26">
        <v>111</v>
      </c>
      <c r="B66" s="100"/>
      <c r="C66" s="45" t="s">
        <v>287</v>
      </c>
      <c r="D66" s="27" t="s">
        <v>183</v>
      </c>
      <c r="E66" s="27" t="s">
        <v>184</v>
      </c>
      <c r="F66" s="27" t="s">
        <v>233</v>
      </c>
      <c r="G66" s="25" t="s">
        <v>288</v>
      </c>
      <c r="H66" s="22" t="s">
        <v>186</v>
      </c>
    </row>
    <row r="67" spans="1:8" x14ac:dyDescent="0.3">
      <c r="A67" s="26">
        <v>112</v>
      </c>
      <c r="B67" s="93"/>
      <c r="C67" s="45" t="s">
        <v>289</v>
      </c>
      <c r="D67" s="27" t="s">
        <v>183</v>
      </c>
      <c r="E67" s="27" t="s">
        <v>184</v>
      </c>
      <c r="F67" s="27" t="s">
        <v>233</v>
      </c>
      <c r="G67" s="25" t="s">
        <v>290</v>
      </c>
      <c r="H67" s="22" t="s">
        <v>186</v>
      </c>
    </row>
    <row r="68" spans="1:8" x14ac:dyDescent="0.3">
      <c r="A68" s="26">
        <v>130</v>
      </c>
      <c r="B68" s="99" t="s">
        <v>291</v>
      </c>
      <c r="C68" s="45" t="s">
        <v>292</v>
      </c>
      <c r="D68" s="27" t="s">
        <v>183</v>
      </c>
      <c r="E68" s="27" t="s">
        <v>184</v>
      </c>
      <c r="F68" s="27" t="s">
        <v>185</v>
      </c>
      <c r="G68" s="25" t="s">
        <v>186</v>
      </c>
      <c r="H68" s="22" t="s">
        <v>186</v>
      </c>
    </row>
    <row r="69" spans="1:8" x14ac:dyDescent="0.3">
      <c r="A69" s="26">
        <v>131</v>
      </c>
      <c r="B69" s="100"/>
      <c r="C69" s="45" t="s">
        <v>293</v>
      </c>
      <c r="D69" s="27" t="s">
        <v>183</v>
      </c>
      <c r="E69" s="27" t="s">
        <v>184</v>
      </c>
      <c r="F69" s="27" t="s">
        <v>185</v>
      </c>
      <c r="G69" s="25" t="s">
        <v>186</v>
      </c>
      <c r="H69" s="22" t="s">
        <v>186</v>
      </c>
    </row>
    <row r="70" spans="1:8" x14ac:dyDescent="0.3">
      <c r="A70" s="26">
        <v>132</v>
      </c>
      <c r="B70" s="100"/>
      <c r="C70" s="45" t="s">
        <v>294</v>
      </c>
      <c r="D70" s="27" t="s">
        <v>183</v>
      </c>
      <c r="E70" s="27" t="s">
        <v>184</v>
      </c>
      <c r="F70" s="27" t="s">
        <v>185</v>
      </c>
      <c r="G70" s="25" t="s">
        <v>186</v>
      </c>
      <c r="H70" s="22" t="s">
        <v>186</v>
      </c>
    </row>
    <row r="71" spans="1:8" x14ac:dyDescent="0.3">
      <c r="A71" s="26">
        <v>133</v>
      </c>
      <c r="B71" s="100"/>
      <c r="C71" s="45" t="s">
        <v>295</v>
      </c>
      <c r="D71" s="27" t="s">
        <v>183</v>
      </c>
      <c r="E71" s="27" t="s">
        <v>184</v>
      </c>
      <c r="F71" s="27" t="s">
        <v>185</v>
      </c>
      <c r="G71" s="25" t="s">
        <v>186</v>
      </c>
      <c r="H71" s="22" t="s">
        <v>186</v>
      </c>
    </row>
    <row r="72" spans="1:8" x14ac:dyDescent="0.3">
      <c r="A72" s="26">
        <v>134</v>
      </c>
      <c r="B72" s="93"/>
      <c r="C72" s="45" t="s">
        <v>296</v>
      </c>
      <c r="D72" s="27" t="s">
        <v>183</v>
      </c>
      <c r="E72" s="27" t="s">
        <v>184</v>
      </c>
      <c r="F72" s="27" t="s">
        <v>185</v>
      </c>
      <c r="G72" s="25" t="s">
        <v>186</v>
      </c>
      <c r="H72" s="22" t="s">
        <v>186</v>
      </c>
    </row>
    <row r="73" spans="1:8" x14ac:dyDescent="0.3">
      <c r="A73" s="97">
        <v>150</v>
      </c>
      <c r="B73" s="99" t="s">
        <v>297</v>
      </c>
      <c r="C73" s="102" t="s">
        <v>298</v>
      </c>
      <c r="D73" s="94" t="s">
        <v>184</v>
      </c>
      <c r="E73" s="94" t="s">
        <v>183</v>
      </c>
      <c r="F73" s="94" t="s">
        <v>194</v>
      </c>
      <c r="G73" s="27" t="s">
        <v>299</v>
      </c>
      <c r="H73" s="92" t="s">
        <v>186</v>
      </c>
    </row>
    <row r="74" spans="1:8" x14ac:dyDescent="0.3">
      <c r="A74" s="93"/>
      <c r="B74" s="100"/>
      <c r="C74" s="96"/>
      <c r="D74" s="93"/>
      <c r="E74" s="93"/>
      <c r="F74" s="93"/>
      <c r="G74" s="27" t="s">
        <v>212</v>
      </c>
      <c r="H74" s="93"/>
    </row>
    <row r="75" spans="1:8" x14ac:dyDescent="0.3">
      <c r="A75" s="26">
        <v>151</v>
      </c>
      <c r="B75" s="100"/>
      <c r="C75" s="45" t="s">
        <v>300</v>
      </c>
      <c r="D75" s="27" t="s">
        <v>183</v>
      </c>
      <c r="E75" s="27" t="s">
        <v>184</v>
      </c>
      <c r="F75" s="27" t="s">
        <v>233</v>
      </c>
      <c r="G75" s="25" t="s">
        <v>301</v>
      </c>
      <c r="H75" s="22" t="s">
        <v>186</v>
      </c>
    </row>
    <row r="76" spans="1:8" x14ac:dyDescent="0.3">
      <c r="A76" s="26">
        <v>152</v>
      </c>
      <c r="B76" s="100"/>
      <c r="C76" s="45" t="s">
        <v>302</v>
      </c>
      <c r="D76" s="27" t="s">
        <v>184</v>
      </c>
      <c r="E76" s="27" t="s">
        <v>183</v>
      </c>
      <c r="F76" s="27" t="s">
        <v>194</v>
      </c>
      <c r="G76" s="25" t="s">
        <v>303</v>
      </c>
      <c r="H76" s="22" t="s">
        <v>186</v>
      </c>
    </row>
    <row r="77" spans="1:8" x14ac:dyDescent="0.3">
      <c r="A77" s="97">
        <v>153</v>
      </c>
      <c r="B77" s="100"/>
      <c r="C77" s="102" t="s">
        <v>304</v>
      </c>
      <c r="D77" s="94" t="s">
        <v>184</v>
      </c>
      <c r="E77" s="94" t="s">
        <v>183</v>
      </c>
      <c r="F77" s="94" t="s">
        <v>194</v>
      </c>
      <c r="G77" s="27" t="s">
        <v>305</v>
      </c>
      <c r="H77" s="92" t="s">
        <v>186</v>
      </c>
    </row>
    <row r="78" spans="1:8" x14ac:dyDescent="0.3">
      <c r="A78" s="93"/>
      <c r="B78" s="100"/>
      <c r="C78" s="96"/>
      <c r="D78" s="93"/>
      <c r="E78" s="93"/>
      <c r="F78" s="93"/>
      <c r="G78" s="27" t="s">
        <v>306</v>
      </c>
      <c r="H78" s="93"/>
    </row>
    <row r="79" spans="1:8" x14ac:dyDescent="0.3">
      <c r="A79" s="97">
        <v>154</v>
      </c>
      <c r="B79" s="100"/>
      <c r="C79" s="102" t="s">
        <v>307</v>
      </c>
      <c r="D79" s="94" t="s">
        <v>184</v>
      </c>
      <c r="E79" s="94" t="s">
        <v>183</v>
      </c>
      <c r="F79" s="94" t="s">
        <v>194</v>
      </c>
      <c r="G79" s="27" t="s">
        <v>299</v>
      </c>
      <c r="H79" s="92" t="s">
        <v>186</v>
      </c>
    </row>
    <row r="80" spans="1:8" x14ac:dyDescent="0.3">
      <c r="A80" s="93"/>
      <c r="B80" s="100"/>
      <c r="C80" s="96"/>
      <c r="D80" s="93"/>
      <c r="E80" s="93"/>
      <c r="F80" s="93"/>
      <c r="G80" s="27" t="s">
        <v>212</v>
      </c>
      <c r="H80" s="93"/>
    </row>
    <row r="81" spans="1:8" x14ac:dyDescent="0.3">
      <c r="A81" s="97">
        <v>155</v>
      </c>
      <c r="B81" s="100"/>
      <c r="C81" s="102" t="s">
        <v>308</v>
      </c>
      <c r="D81" s="94" t="s">
        <v>184</v>
      </c>
      <c r="E81" s="94" t="s">
        <v>183</v>
      </c>
      <c r="F81" s="94" t="s">
        <v>194</v>
      </c>
      <c r="G81" s="27" t="s">
        <v>309</v>
      </c>
      <c r="H81" s="92" t="s">
        <v>186</v>
      </c>
    </row>
    <row r="82" spans="1:8" x14ac:dyDescent="0.3">
      <c r="A82" s="93"/>
      <c r="B82" s="100"/>
      <c r="C82" s="96"/>
      <c r="D82" s="93"/>
      <c r="E82" s="93"/>
      <c r="F82" s="93"/>
      <c r="G82" s="27" t="s">
        <v>306</v>
      </c>
      <c r="H82" s="93"/>
    </row>
    <row r="83" spans="1:8" x14ac:dyDescent="0.3">
      <c r="A83" s="97">
        <v>156</v>
      </c>
      <c r="B83" s="100"/>
      <c r="C83" s="102" t="s">
        <v>310</v>
      </c>
      <c r="D83" s="94" t="s">
        <v>184</v>
      </c>
      <c r="E83" s="94" t="s">
        <v>183</v>
      </c>
      <c r="F83" s="94" t="s">
        <v>194</v>
      </c>
      <c r="G83" s="27" t="s">
        <v>311</v>
      </c>
      <c r="H83" s="92" t="s">
        <v>186</v>
      </c>
    </row>
    <row r="84" spans="1:8" x14ac:dyDescent="0.3">
      <c r="A84" s="93"/>
      <c r="B84" s="100"/>
      <c r="C84" s="96"/>
      <c r="D84" s="93"/>
      <c r="E84" s="93"/>
      <c r="F84" s="93"/>
      <c r="G84" s="27" t="s">
        <v>312</v>
      </c>
      <c r="H84" s="93"/>
    </row>
    <row r="85" spans="1:8" x14ac:dyDescent="0.3">
      <c r="A85" s="97">
        <v>157</v>
      </c>
      <c r="B85" s="100"/>
      <c r="C85" s="102" t="s">
        <v>313</v>
      </c>
      <c r="D85" s="94" t="s">
        <v>184</v>
      </c>
      <c r="E85" s="94" t="s">
        <v>183</v>
      </c>
      <c r="F85" s="94" t="s">
        <v>194</v>
      </c>
      <c r="G85" s="27" t="s">
        <v>314</v>
      </c>
      <c r="H85" s="92" t="s">
        <v>186</v>
      </c>
    </row>
    <row r="86" spans="1:8" x14ac:dyDescent="0.3">
      <c r="A86" s="93"/>
      <c r="B86" s="100"/>
      <c r="C86" s="96"/>
      <c r="D86" s="93"/>
      <c r="E86" s="93"/>
      <c r="F86" s="93"/>
      <c r="G86" s="27" t="s">
        <v>312</v>
      </c>
      <c r="H86" s="93"/>
    </row>
    <row r="87" spans="1:8" x14ac:dyDescent="0.3">
      <c r="A87" s="97">
        <v>158</v>
      </c>
      <c r="B87" s="100"/>
      <c r="C87" s="105" t="s">
        <v>315</v>
      </c>
      <c r="D87" s="92" t="s">
        <v>201</v>
      </c>
      <c r="E87" s="92" t="s">
        <v>183</v>
      </c>
      <c r="F87" s="92" t="s">
        <v>194</v>
      </c>
      <c r="G87" s="24" t="s">
        <v>316</v>
      </c>
      <c r="H87" s="92" t="s">
        <v>186</v>
      </c>
    </row>
    <row r="88" spans="1:8" x14ac:dyDescent="0.3">
      <c r="A88" s="93"/>
      <c r="B88" s="100"/>
      <c r="C88" s="96"/>
      <c r="D88" s="93"/>
      <c r="E88" s="93"/>
      <c r="F88" s="93"/>
      <c r="G88" s="24" t="s">
        <v>317</v>
      </c>
      <c r="H88" s="93"/>
    </row>
    <row r="89" spans="1:8" x14ac:dyDescent="0.3">
      <c r="A89" s="97">
        <v>159</v>
      </c>
      <c r="B89" s="100"/>
      <c r="C89" s="105" t="s">
        <v>318</v>
      </c>
      <c r="D89" s="92" t="s">
        <v>201</v>
      </c>
      <c r="E89" s="92" t="s">
        <v>183</v>
      </c>
      <c r="F89" s="92" t="s">
        <v>194</v>
      </c>
      <c r="G89" s="24" t="s">
        <v>319</v>
      </c>
      <c r="H89" s="92" t="s">
        <v>186</v>
      </c>
    </row>
    <row r="90" spans="1:8" x14ac:dyDescent="0.3">
      <c r="A90" s="93"/>
      <c r="B90" s="100"/>
      <c r="C90" s="96"/>
      <c r="D90" s="93"/>
      <c r="E90" s="93"/>
      <c r="F90" s="93"/>
      <c r="G90" s="24" t="s">
        <v>212</v>
      </c>
      <c r="H90" s="93"/>
    </row>
    <row r="91" spans="1:8" x14ac:dyDescent="0.3">
      <c r="A91" s="97">
        <v>160</v>
      </c>
      <c r="B91" s="100"/>
      <c r="C91" s="105" t="s">
        <v>320</v>
      </c>
      <c r="D91" s="92" t="s">
        <v>201</v>
      </c>
      <c r="E91" s="92" t="s">
        <v>183</v>
      </c>
      <c r="F91" s="92" t="s">
        <v>194</v>
      </c>
      <c r="G91" s="24" t="s">
        <v>319</v>
      </c>
      <c r="H91" s="92" t="s">
        <v>186</v>
      </c>
    </row>
    <row r="92" spans="1:8" x14ac:dyDescent="0.3">
      <c r="A92" s="93"/>
      <c r="B92" s="100"/>
      <c r="C92" s="96"/>
      <c r="D92" s="93"/>
      <c r="E92" s="93"/>
      <c r="F92" s="93"/>
      <c r="G92" s="24" t="s">
        <v>212</v>
      </c>
      <c r="H92" s="93"/>
    </row>
    <row r="93" spans="1:8" ht="26.4" customHeight="1" x14ac:dyDescent="0.3">
      <c r="A93" s="97">
        <v>161</v>
      </c>
      <c r="B93" s="100"/>
      <c r="C93" s="102" t="s">
        <v>321</v>
      </c>
      <c r="D93" s="94" t="s">
        <v>184</v>
      </c>
      <c r="E93" s="94" t="s">
        <v>183</v>
      </c>
      <c r="F93" s="94" t="s">
        <v>194</v>
      </c>
      <c r="G93" s="27" t="s">
        <v>322</v>
      </c>
      <c r="H93" s="92" t="s">
        <v>186</v>
      </c>
    </row>
    <row r="94" spans="1:8" x14ac:dyDescent="0.3">
      <c r="A94" s="93"/>
      <c r="B94" s="100"/>
      <c r="C94" s="96"/>
      <c r="D94" s="93"/>
      <c r="E94" s="93"/>
      <c r="F94" s="93"/>
      <c r="G94" s="27" t="s">
        <v>212</v>
      </c>
      <c r="H94" s="93"/>
    </row>
    <row r="95" spans="1:8" ht="26.4" customHeight="1" x14ac:dyDescent="0.3">
      <c r="A95" s="26">
        <v>162</v>
      </c>
      <c r="B95" s="100"/>
      <c r="C95" s="45" t="s">
        <v>323</v>
      </c>
      <c r="D95" s="27" t="s">
        <v>184</v>
      </c>
      <c r="E95" s="27" t="s">
        <v>183</v>
      </c>
      <c r="F95" s="27" t="s">
        <v>194</v>
      </c>
      <c r="G95" s="27" t="s">
        <v>324</v>
      </c>
      <c r="H95" s="22" t="s">
        <v>186</v>
      </c>
    </row>
    <row r="96" spans="1:8" ht="26.4" customHeight="1" x14ac:dyDescent="0.3">
      <c r="A96" s="26">
        <v>163</v>
      </c>
      <c r="B96" s="100"/>
      <c r="C96" s="45" t="s">
        <v>325</v>
      </c>
      <c r="D96" s="27" t="s">
        <v>184</v>
      </c>
      <c r="E96" s="27" t="s">
        <v>183</v>
      </c>
      <c r="F96" s="27" t="s">
        <v>194</v>
      </c>
      <c r="G96" s="27" t="s">
        <v>326</v>
      </c>
      <c r="H96" s="22" t="s">
        <v>186</v>
      </c>
    </row>
    <row r="97" spans="1:8" x14ac:dyDescent="0.3">
      <c r="A97" s="26">
        <v>164</v>
      </c>
      <c r="B97" s="93"/>
      <c r="C97" s="45" t="s">
        <v>327</v>
      </c>
      <c r="D97" s="27" t="s">
        <v>183</v>
      </c>
      <c r="E97" s="27" t="s">
        <v>184</v>
      </c>
      <c r="F97" s="27" t="s">
        <v>233</v>
      </c>
      <c r="G97" s="27" t="s">
        <v>328</v>
      </c>
      <c r="H97" s="22" t="s">
        <v>186</v>
      </c>
    </row>
    <row r="98" spans="1:8" x14ac:dyDescent="0.3">
      <c r="A98" s="26">
        <v>170</v>
      </c>
      <c r="B98" s="99" t="s">
        <v>329</v>
      </c>
      <c r="C98" s="45" t="s">
        <v>330</v>
      </c>
      <c r="D98" s="27" t="s">
        <v>183</v>
      </c>
      <c r="E98" s="27" t="s">
        <v>184</v>
      </c>
      <c r="F98" s="27" t="s">
        <v>185</v>
      </c>
      <c r="G98" s="25" t="s">
        <v>186</v>
      </c>
      <c r="H98" s="22" t="s">
        <v>186</v>
      </c>
    </row>
    <row r="99" spans="1:8" x14ac:dyDescent="0.3">
      <c r="A99" s="26">
        <v>171</v>
      </c>
      <c r="B99" s="100"/>
      <c r="C99" s="45" t="s">
        <v>331</v>
      </c>
      <c r="D99" s="27" t="s">
        <v>183</v>
      </c>
      <c r="E99" s="27" t="s">
        <v>184</v>
      </c>
      <c r="F99" s="27" t="s">
        <v>188</v>
      </c>
      <c r="G99" s="25" t="s">
        <v>332</v>
      </c>
      <c r="H99" s="22">
        <v>68</v>
      </c>
    </row>
    <row r="100" spans="1:8" ht="26.4" customHeight="1" x14ac:dyDescent="0.3">
      <c r="A100" s="26">
        <v>172</v>
      </c>
      <c r="B100" s="100"/>
      <c r="C100" s="45" t="s">
        <v>333</v>
      </c>
      <c r="D100" s="27" t="s">
        <v>184</v>
      </c>
      <c r="E100" s="27" t="s">
        <v>183</v>
      </c>
      <c r="F100" s="27" t="s">
        <v>188</v>
      </c>
      <c r="G100" s="27" t="s">
        <v>334</v>
      </c>
      <c r="H100" s="22">
        <v>88</v>
      </c>
    </row>
    <row r="101" spans="1:8" x14ac:dyDescent="0.3">
      <c r="A101" s="97">
        <v>173</v>
      </c>
      <c r="B101" s="100"/>
      <c r="C101" s="102" t="s">
        <v>335</v>
      </c>
      <c r="D101" s="94" t="s">
        <v>184</v>
      </c>
      <c r="E101" s="94" t="s">
        <v>183</v>
      </c>
      <c r="F101" s="94" t="s">
        <v>194</v>
      </c>
      <c r="G101" s="27" t="s">
        <v>336</v>
      </c>
      <c r="H101" s="92" t="s">
        <v>186</v>
      </c>
    </row>
    <row r="102" spans="1:8" x14ac:dyDescent="0.3">
      <c r="A102" s="93"/>
      <c r="B102" s="100"/>
      <c r="C102" s="96"/>
      <c r="D102" s="93"/>
      <c r="E102" s="93"/>
      <c r="F102" s="93"/>
      <c r="G102" s="27" t="s">
        <v>337</v>
      </c>
      <c r="H102" s="93"/>
    </row>
    <row r="103" spans="1:8" x14ac:dyDescent="0.3">
      <c r="A103" s="97">
        <v>174</v>
      </c>
      <c r="B103" s="100"/>
      <c r="C103" s="105" t="s">
        <v>338</v>
      </c>
      <c r="D103" s="92" t="s">
        <v>201</v>
      </c>
      <c r="E103" s="92" t="s">
        <v>183</v>
      </c>
      <c r="F103" s="107" t="s">
        <v>339</v>
      </c>
      <c r="G103" s="24" t="s">
        <v>340</v>
      </c>
      <c r="H103" s="99">
        <v>88</v>
      </c>
    </row>
    <row r="104" spans="1:8" x14ac:dyDescent="0.3">
      <c r="A104" s="93"/>
      <c r="B104" s="100"/>
      <c r="C104" s="96"/>
      <c r="D104" s="93"/>
      <c r="E104" s="93"/>
      <c r="F104" s="93"/>
      <c r="G104" s="24" t="s">
        <v>341</v>
      </c>
      <c r="H104" s="93"/>
    </row>
    <row r="105" spans="1:8" ht="26.4" customHeight="1" x14ac:dyDescent="0.3">
      <c r="A105" s="26">
        <v>175</v>
      </c>
      <c r="B105" s="100"/>
      <c r="C105" s="47" t="s">
        <v>342</v>
      </c>
      <c r="D105" s="27" t="s">
        <v>184</v>
      </c>
      <c r="E105" s="27" t="s">
        <v>183</v>
      </c>
      <c r="F105" s="27" t="s">
        <v>188</v>
      </c>
      <c r="G105" s="27" t="s">
        <v>334</v>
      </c>
      <c r="H105" s="25">
        <v>88</v>
      </c>
    </row>
    <row r="106" spans="1:8" x14ac:dyDescent="0.3">
      <c r="A106" s="97">
        <v>176</v>
      </c>
      <c r="B106" s="100"/>
      <c r="C106" s="105" t="s">
        <v>343</v>
      </c>
      <c r="D106" s="94" t="s">
        <v>184</v>
      </c>
      <c r="E106" s="94" t="s">
        <v>183</v>
      </c>
      <c r="F106" s="94" t="s">
        <v>339</v>
      </c>
      <c r="G106" s="27" t="s">
        <v>344</v>
      </c>
      <c r="H106" s="99">
        <v>88</v>
      </c>
    </row>
    <row r="107" spans="1:8" x14ac:dyDescent="0.3">
      <c r="A107" s="93"/>
      <c r="B107" s="93"/>
      <c r="C107" s="96"/>
      <c r="D107" s="93"/>
      <c r="E107" s="93"/>
      <c r="F107" s="93"/>
      <c r="G107" s="27" t="s">
        <v>337</v>
      </c>
      <c r="H107" s="93"/>
    </row>
    <row r="108" spans="1:8" x14ac:dyDescent="0.3">
      <c r="A108" s="97">
        <v>190</v>
      </c>
      <c r="B108" s="99" t="s">
        <v>345</v>
      </c>
      <c r="C108" s="102" t="s">
        <v>346</v>
      </c>
      <c r="D108" s="94" t="s">
        <v>184</v>
      </c>
      <c r="E108" s="94" t="s">
        <v>183</v>
      </c>
      <c r="F108" s="94" t="s">
        <v>194</v>
      </c>
      <c r="G108" s="27" t="s">
        <v>347</v>
      </c>
      <c r="H108" s="92" t="s">
        <v>186</v>
      </c>
    </row>
    <row r="109" spans="1:8" x14ac:dyDescent="0.3">
      <c r="A109" s="93"/>
      <c r="B109" s="100"/>
      <c r="C109" s="96"/>
      <c r="D109" s="93"/>
      <c r="E109" s="93"/>
      <c r="F109" s="93"/>
      <c r="G109" s="27" t="s">
        <v>212</v>
      </c>
      <c r="H109" s="93"/>
    </row>
    <row r="110" spans="1:8" ht="39.6" customHeight="1" x14ac:dyDescent="0.3">
      <c r="A110" s="26">
        <v>191</v>
      </c>
      <c r="B110" s="93"/>
      <c r="C110" s="46" t="s">
        <v>348</v>
      </c>
      <c r="D110" s="25" t="s">
        <v>201</v>
      </c>
      <c r="E110" s="25" t="s">
        <v>183</v>
      </c>
      <c r="F110" s="27" t="s">
        <v>194</v>
      </c>
      <c r="G110" s="27" t="s">
        <v>349</v>
      </c>
      <c r="H110" s="22">
        <v>5</v>
      </c>
    </row>
    <row r="111" spans="1:8" x14ac:dyDescent="0.3">
      <c r="A111" s="26">
        <v>200</v>
      </c>
      <c r="B111" s="99" t="s">
        <v>350</v>
      </c>
      <c r="C111" s="45" t="s">
        <v>351</v>
      </c>
      <c r="D111" s="27" t="s">
        <v>184</v>
      </c>
      <c r="E111" s="27" t="s">
        <v>183</v>
      </c>
      <c r="F111" s="27" t="s">
        <v>185</v>
      </c>
      <c r="G111" s="25" t="s">
        <v>186</v>
      </c>
      <c r="H111" s="27">
        <v>75</v>
      </c>
    </row>
    <row r="112" spans="1:8" x14ac:dyDescent="0.3">
      <c r="A112" s="26">
        <v>201</v>
      </c>
      <c r="B112" s="100"/>
      <c r="C112" s="45" t="s">
        <v>352</v>
      </c>
      <c r="D112" s="27" t="s">
        <v>184</v>
      </c>
      <c r="E112" s="27" t="s">
        <v>183</v>
      </c>
      <c r="F112" s="27" t="s">
        <v>194</v>
      </c>
      <c r="G112" s="27" t="s">
        <v>353</v>
      </c>
      <c r="H112" s="22" t="s">
        <v>186</v>
      </c>
    </row>
    <row r="113" spans="1:8" x14ac:dyDescent="0.3">
      <c r="A113" s="26">
        <v>202</v>
      </c>
      <c r="B113" s="100"/>
      <c r="C113" s="45" t="s">
        <v>354</v>
      </c>
      <c r="D113" s="27" t="s">
        <v>184</v>
      </c>
      <c r="E113" s="27" t="s">
        <v>183</v>
      </c>
      <c r="F113" s="27" t="s">
        <v>194</v>
      </c>
      <c r="G113" s="27" t="s">
        <v>355</v>
      </c>
      <c r="H113" s="22" t="s">
        <v>186</v>
      </c>
    </row>
    <row r="114" spans="1:8" x14ac:dyDescent="0.3">
      <c r="A114" s="26">
        <v>203</v>
      </c>
      <c r="B114" s="100"/>
      <c r="C114" s="45" t="s">
        <v>356</v>
      </c>
      <c r="D114" s="27" t="s">
        <v>183</v>
      </c>
      <c r="E114" s="27" t="s">
        <v>184</v>
      </c>
      <c r="F114" s="27" t="s">
        <v>185</v>
      </c>
      <c r="G114" s="25" t="s">
        <v>186</v>
      </c>
      <c r="H114" s="22" t="s">
        <v>186</v>
      </c>
    </row>
    <row r="115" spans="1:8" x14ac:dyDescent="0.3">
      <c r="A115" s="26">
        <v>204</v>
      </c>
      <c r="B115" s="100"/>
      <c r="C115" s="45" t="s">
        <v>357</v>
      </c>
      <c r="D115" s="27" t="s">
        <v>183</v>
      </c>
      <c r="E115" s="27" t="s">
        <v>184</v>
      </c>
      <c r="F115" s="27" t="s">
        <v>185</v>
      </c>
      <c r="G115" s="25" t="s">
        <v>186</v>
      </c>
      <c r="H115" s="22" t="s">
        <v>186</v>
      </c>
    </row>
    <row r="116" spans="1:8" x14ac:dyDescent="0.3">
      <c r="A116" s="26">
        <v>205</v>
      </c>
      <c r="B116" s="100"/>
      <c r="C116" s="45" t="s">
        <v>358</v>
      </c>
      <c r="D116" s="27" t="s">
        <v>184</v>
      </c>
      <c r="E116" s="27" t="s">
        <v>183</v>
      </c>
      <c r="F116" s="27" t="s">
        <v>185</v>
      </c>
      <c r="G116" s="25" t="s">
        <v>186</v>
      </c>
      <c r="H116" s="27">
        <v>75</v>
      </c>
    </row>
    <row r="117" spans="1:8" x14ac:dyDescent="0.3">
      <c r="A117" s="26">
        <v>206</v>
      </c>
      <c r="B117" s="100"/>
      <c r="C117" s="45" t="s">
        <v>359</v>
      </c>
      <c r="D117" s="27" t="s">
        <v>183</v>
      </c>
      <c r="E117" s="27" t="s">
        <v>184</v>
      </c>
      <c r="F117" s="27" t="s">
        <v>185</v>
      </c>
      <c r="G117" s="25" t="s">
        <v>186</v>
      </c>
      <c r="H117" s="22" t="s">
        <v>186</v>
      </c>
    </row>
    <row r="118" spans="1:8" x14ac:dyDescent="0.3">
      <c r="A118" s="26">
        <v>207</v>
      </c>
      <c r="B118" s="100"/>
      <c r="C118" s="45" t="s">
        <v>360</v>
      </c>
      <c r="D118" s="27" t="s">
        <v>183</v>
      </c>
      <c r="E118" s="27" t="s">
        <v>184</v>
      </c>
      <c r="F118" s="27" t="s">
        <v>185</v>
      </c>
      <c r="G118" s="25" t="s">
        <v>186</v>
      </c>
      <c r="H118" s="27">
        <v>75</v>
      </c>
    </row>
    <row r="119" spans="1:8" x14ac:dyDescent="0.3">
      <c r="A119" s="26">
        <v>208</v>
      </c>
      <c r="B119" s="100"/>
      <c r="C119" s="45" t="s">
        <v>361</v>
      </c>
      <c r="D119" s="27" t="s">
        <v>184</v>
      </c>
      <c r="E119" s="27" t="s">
        <v>183</v>
      </c>
      <c r="F119" s="27" t="s">
        <v>185</v>
      </c>
      <c r="G119" s="25" t="s">
        <v>186</v>
      </c>
      <c r="H119" s="27">
        <v>75</v>
      </c>
    </row>
    <row r="120" spans="1:8" x14ac:dyDescent="0.3">
      <c r="A120" s="26">
        <v>209</v>
      </c>
      <c r="B120" s="100"/>
      <c r="C120" s="45" t="s">
        <v>362</v>
      </c>
      <c r="D120" s="27" t="s">
        <v>183</v>
      </c>
      <c r="E120" s="27" t="s">
        <v>184</v>
      </c>
      <c r="F120" s="27" t="s">
        <v>185</v>
      </c>
      <c r="G120" s="25" t="s">
        <v>186</v>
      </c>
      <c r="H120" s="22" t="s">
        <v>186</v>
      </c>
    </row>
    <row r="121" spans="1:8" x14ac:dyDescent="0.3">
      <c r="A121" s="97">
        <v>210</v>
      </c>
      <c r="B121" s="100"/>
      <c r="C121" s="102" t="s">
        <v>363</v>
      </c>
      <c r="D121" s="94" t="s">
        <v>184</v>
      </c>
      <c r="E121" s="94" t="s">
        <v>183</v>
      </c>
      <c r="F121" s="94" t="s">
        <v>194</v>
      </c>
      <c r="G121" s="27" t="s">
        <v>364</v>
      </c>
      <c r="H121" s="92" t="s">
        <v>186</v>
      </c>
    </row>
    <row r="122" spans="1:8" x14ac:dyDescent="0.3">
      <c r="A122" s="93"/>
      <c r="B122" s="100"/>
      <c r="C122" s="96"/>
      <c r="D122" s="93"/>
      <c r="E122" s="93"/>
      <c r="F122" s="93"/>
      <c r="G122" s="27" t="s">
        <v>365</v>
      </c>
      <c r="H122" s="93"/>
    </row>
    <row r="123" spans="1:8" x14ac:dyDescent="0.3">
      <c r="A123" s="97">
        <v>211</v>
      </c>
      <c r="B123" s="100"/>
      <c r="C123" s="102" t="s">
        <v>366</v>
      </c>
      <c r="D123" s="94" t="s">
        <v>184</v>
      </c>
      <c r="E123" s="94" t="s">
        <v>183</v>
      </c>
      <c r="F123" s="94" t="s">
        <v>194</v>
      </c>
      <c r="G123" s="27" t="s">
        <v>367</v>
      </c>
      <c r="H123" s="92" t="s">
        <v>186</v>
      </c>
    </row>
    <row r="124" spans="1:8" x14ac:dyDescent="0.3">
      <c r="A124" s="93"/>
      <c r="B124" s="93"/>
      <c r="C124" s="96"/>
      <c r="D124" s="93"/>
      <c r="E124" s="93"/>
      <c r="F124" s="93"/>
      <c r="G124" s="27" t="s">
        <v>212</v>
      </c>
      <c r="H124" s="93"/>
    </row>
    <row r="125" spans="1:8" x14ac:dyDescent="0.3">
      <c r="A125" s="26">
        <v>250</v>
      </c>
      <c r="B125" s="99" t="s">
        <v>368</v>
      </c>
      <c r="C125" s="45" t="s">
        <v>369</v>
      </c>
      <c r="D125" s="25" t="s">
        <v>183</v>
      </c>
      <c r="E125" s="25" t="s">
        <v>201</v>
      </c>
      <c r="F125" s="27" t="s">
        <v>233</v>
      </c>
      <c r="G125" s="27" t="s">
        <v>370</v>
      </c>
      <c r="H125" s="22" t="s">
        <v>186</v>
      </c>
    </row>
    <row r="126" spans="1:8" x14ac:dyDescent="0.3">
      <c r="A126" s="26">
        <v>251</v>
      </c>
      <c r="B126" s="100"/>
      <c r="C126" s="45" t="s">
        <v>371</v>
      </c>
      <c r="D126" s="25" t="s">
        <v>183</v>
      </c>
      <c r="E126" s="25" t="s">
        <v>201</v>
      </c>
      <c r="F126" s="27" t="s">
        <v>233</v>
      </c>
      <c r="G126" s="27" t="s">
        <v>372</v>
      </c>
      <c r="H126" s="22" t="s">
        <v>186</v>
      </c>
    </row>
    <row r="127" spans="1:8" x14ac:dyDescent="0.3">
      <c r="A127" s="97">
        <v>252</v>
      </c>
      <c r="B127" s="100"/>
      <c r="C127" s="102" t="s">
        <v>373</v>
      </c>
      <c r="D127" s="99" t="s">
        <v>183</v>
      </c>
      <c r="E127" s="99" t="s">
        <v>201</v>
      </c>
      <c r="F127" s="94" t="s">
        <v>233</v>
      </c>
      <c r="G127" s="27" t="s">
        <v>374</v>
      </c>
      <c r="H127" s="92">
        <v>69</v>
      </c>
    </row>
    <row r="128" spans="1:8" x14ac:dyDescent="0.3">
      <c r="A128" s="93"/>
      <c r="B128" s="100"/>
      <c r="C128" s="96"/>
      <c r="D128" s="93"/>
      <c r="E128" s="93"/>
      <c r="F128" s="93"/>
      <c r="G128" s="27" t="s">
        <v>375</v>
      </c>
      <c r="H128" s="93"/>
    </row>
    <row r="129" spans="1:8" ht="26.4" customHeight="1" x14ac:dyDescent="0.3">
      <c r="A129" s="26">
        <v>253</v>
      </c>
      <c r="B129" s="100"/>
      <c r="C129" s="45" t="s">
        <v>376</v>
      </c>
      <c r="D129" s="25" t="s">
        <v>183</v>
      </c>
      <c r="E129" s="25" t="s">
        <v>201</v>
      </c>
      <c r="F129" s="27" t="s">
        <v>233</v>
      </c>
      <c r="G129" s="27" t="s">
        <v>377</v>
      </c>
      <c r="H129" s="22">
        <v>77</v>
      </c>
    </row>
    <row r="130" spans="1:8" x14ac:dyDescent="0.3">
      <c r="A130" s="26">
        <v>254</v>
      </c>
      <c r="B130" s="100"/>
      <c r="C130" s="46" t="s">
        <v>378</v>
      </c>
      <c r="D130" s="25" t="s">
        <v>183</v>
      </c>
      <c r="E130" s="25" t="s">
        <v>201</v>
      </c>
      <c r="F130" s="27" t="s">
        <v>233</v>
      </c>
      <c r="G130" s="25" t="s">
        <v>378</v>
      </c>
      <c r="H130" s="22">
        <v>90</v>
      </c>
    </row>
    <row r="131" spans="1:8" ht="26.4" customHeight="1" x14ac:dyDescent="0.3">
      <c r="A131" s="26">
        <v>255</v>
      </c>
      <c r="B131" s="100"/>
      <c r="C131" s="46" t="s">
        <v>379</v>
      </c>
      <c r="D131" s="25" t="s">
        <v>183</v>
      </c>
      <c r="E131" s="25" t="s">
        <v>201</v>
      </c>
      <c r="F131" s="27" t="s">
        <v>233</v>
      </c>
      <c r="G131" s="25" t="s">
        <v>380</v>
      </c>
      <c r="H131" s="22">
        <v>94</v>
      </c>
    </row>
    <row r="132" spans="1:8" ht="26.4" customHeight="1" x14ac:dyDescent="0.3">
      <c r="A132" s="26">
        <v>256</v>
      </c>
      <c r="B132" s="100"/>
      <c r="C132" s="46" t="s">
        <v>381</v>
      </c>
      <c r="D132" s="25" t="s">
        <v>183</v>
      </c>
      <c r="E132" s="25" t="s">
        <v>201</v>
      </c>
      <c r="F132" s="27" t="s">
        <v>233</v>
      </c>
      <c r="G132" s="27" t="s">
        <v>382</v>
      </c>
      <c r="H132" s="22" t="s">
        <v>186</v>
      </c>
    </row>
    <row r="133" spans="1:8" x14ac:dyDescent="0.3">
      <c r="A133" s="26">
        <v>257</v>
      </c>
      <c r="B133" s="100"/>
      <c r="C133" s="45" t="s">
        <v>383</v>
      </c>
      <c r="D133" s="25" t="s">
        <v>201</v>
      </c>
      <c r="E133" s="25" t="s">
        <v>183</v>
      </c>
      <c r="F133" s="27" t="s">
        <v>233</v>
      </c>
      <c r="G133" s="25" t="s">
        <v>384</v>
      </c>
      <c r="H133" s="22" t="s">
        <v>186</v>
      </c>
    </row>
    <row r="134" spans="1:8" x14ac:dyDescent="0.3">
      <c r="A134" s="26">
        <v>258</v>
      </c>
      <c r="B134" s="100"/>
      <c r="C134" s="45" t="s">
        <v>385</v>
      </c>
      <c r="D134" s="25" t="s">
        <v>201</v>
      </c>
      <c r="E134" s="25" t="s">
        <v>183</v>
      </c>
      <c r="F134" s="27" t="s">
        <v>233</v>
      </c>
      <c r="G134" s="25" t="s">
        <v>386</v>
      </c>
      <c r="H134" s="22" t="s">
        <v>186</v>
      </c>
    </row>
    <row r="135" spans="1:8" x14ac:dyDescent="0.3">
      <c r="A135" s="26">
        <v>259</v>
      </c>
      <c r="B135" s="93"/>
      <c r="C135" s="45" t="s">
        <v>387</v>
      </c>
      <c r="D135" s="25" t="s">
        <v>201</v>
      </c>
      <c r="E135" s="25" t="s">
        <v>183</v>
      </c>
      <c r="F135" s="27" t="s">
        <v>233</v>
      </c>
      <c r="G135" s="25" t="s">
        <v>388</v>
      </c>
      <c r="H135" s="22" t="s">
        <v>186</v>
      </c>
    </row>
    <row r="136" spans="1:8" ht="26.4" customHeight="1" x14ac:dyDescent="0.3">
      <c r="A136" s="23">
        <v>300</v>
      </c>
      <c r="B136" s="22" t="s">
        <v>389</v>
      </c>
      <c r="C136" s="46" t="s">
        <v>390</v>
      </c>
      <c r="D136" s="22" t="s">
        <v>201</v>
      </c>
      <c r="E136" s="22" t="s">
        <v>183</v>
      </c>
      <c r="F136" s="22" t="s">
        <v>194</v>
      </c>
      <c r="G136" s="27" t="s">
        <v>391</v>
      </c>
      <c r="H136" s="22" t="s">
        <v>186</v>
      </c>
    </row>
    <row r="137" spans="1:8" x14ac:dyDescent="0.3">
      <c r="A137" s="104">
        <v>301</v>
      </c>
      <c r="B137" s="107" t="s">
        <v>392</v>
      </c>
      <c r="C137" s="95" t="s">
        <v>393</v>
      </c>
      <c r="D137" s="92" t="s">
        <v>201</v>
      </c>
      <c r="E137" s="92" t="s">
        <v>183</v>
      </c>
      <c r="F137" s="92" t="s">
        <v>194</v>
      </c>
      <c r="G137" s="24" t="s">
        <v>319</v>
      </c>
      <c r="H137" s="92" t="s">
        <v>186</v>
      </c>
    </row>
    <row r="138" spans="1:8" x14ac:dyDescent="0.3">
      <c r="A138" s="93"/>
      <c r="B138" s="100"/>
      <c r="C138" s="96"/>
      <c r="D138" s="93"/>
      <c r="E138" s="93"/>
      <c r="F138" s="93"/>
      <c r="G138" s="24" t="s">
        <v>212</v>
      </c>
      <c r="H138" s="93"/>
    </row>
    <row r="139" spans="1:8" x14ac:dyDescent="0.3">
      <c r="A139" s="104">
        <v>302</v>
      </c>
      <c r="B139" s="100"/>
      <c r="C139" s="105" t="s">
        <v>394</v>
      </c>
      <c r="D139" s="92" t="s">
        <v>201</v>
      </c>
      <c r="E139" s="92" t="s">
        <v>183</v>
      </c>
      <c r="F139" s="92" t="s">
        <v>194</v>
      </c>
      <c r="G139" s="24" t="s">
        <v>395</v>
      </c>
      <c r="H139" s="92" t="s">
        <v>186</v>
      </c>
    </row>
    <row r="140" spans="1:8" x14ac:dyDescent="0.3">
      <c r="A140" s="93"/>
      <c r="B140" s="100"/>
      <c r="C140" s="96"/>
      <c r="D140" s="93"/>
      <c r="E140" s="93"/>
      <c r="F140" s="93"/>
      <c r="G140" s="24" t="s">
        <v>396</v>
      </c>
      <c r="H140" s="93"/>
    </row>
    <row r="141" spans="1:8" x14ac:dyDescent="0.3">
      <c r="A141" s="104">
        <v>303</v>
      </c>
      <c r="B141" s="100"/>
      <c r="C141" s="105" t="s">
        <v>397</v>
      </c>
      <c r="D141" s="92" t="s">
        <v>201</v>
      </c>
      <c r="E141" s="92" t="s">
        <v>183</v>
      </c>
      <c r="F141" s="92" t="s">
        <v>194</v>
      </c>
      <c r="G141" s="24" t="s">
        <v>398</v>
      </c>
      <c r="H141" s="92" t="s">
        <v>186</v>
      </c>
    </row>
    <row r="142" spans="1:8" x14ac:dyDescent="0.3">
      <c r="A142" s="93"/>
      <c r="B142" s="93"/>
      <c r="C142" s="96"/>
      <c r="D142" s="93"/>
      <c r="E142" s="93"/>
      <c r="F142" s="93"/>
      <c r="G142" s="24" t="s">
        <v>396</v>
      </c>
      <c r="H142" s="93"/>
    </row>
    <row r="143" spans="1:8" x14ac:dyDescent="0.3">
      <c r="A143" s="104">
        <v>304</v>
      </c>
      <c r="B143" s="106" t="s">
        <v>399</v>
      </c>
      <c r="C143" s="105" t="s">
        <v>400</v>
      </c>
      <c r="D143" s="92" t="s">
        <v>201</v>
      </c>
      <c r="E143" s="92" t="s">
        <v>183</v>
      </c>
      <c r="F143" s="92" t="s">
        <v>194</v>
      </c>
      <c r="G143" s="24" t="s">
        <v>401</v>
      </c>
      <c r="H143" s="92" t="s">
        <v>186</v>
      </c>
    </row>
    <row r="144" spans="1:8" x14ac:dyDescent="0.3">
      <c r="A144" s="93"/>
      <c r="B144" s="100"/>
      <c r="C144" s="96"/>
      <c r="D144" s="93"/>
      <c r="E144" s="93"/>
      <c r="F144" s="93"/>
      <c r="G144" s="24" t="s">
        <v>402</v>
      </c>
      <c r="H144" s="93"/>
    </row>
    <row r="145" spans="1:8" x14ac:dyDescent="0.3">
      <c r="A145" s="104">
        <v>305</v>
      </c>
      <c r="B145" s="100"/>
      <c r="C145" s="105" t="s">
        <v>403</v>
      </c>
      <c r="D145" s="92" t="s">
        <v>201</v>
      </c>
      <c r="E145" s="92" t="s">
        <v>183</v>
      </c>
      <c r="F145" s="92" t="s">
        <v>194</v>
      </c>
      <c r="G145" s="24" t="s">
        <v>401</v>
      </c>
      <c r="H145" s="92" t="s">
        <v>186</v>
      </c>
    </row>
    <row r="146" spans="1:8" x14ac:dyDescent="0.3">
      <c r="A146" s="93"/>
      <c r="B146" s="100"/>
      <c r="C146" s="96"/>
      <c r="D146" s="93"/>
      <c r="E146" s="93"/>
      <c r="F146" s="93"/>
      <c r="G146" s="24" t="s">
        <v>402</v>
      </c>
      <c r="H146" s="93"/>
    </row>
    <row r="147" spans="1:8" x14ac:dyDescent="0.3">
      <c r="A147" s="104">
        <v>306</v>
      </c>
      <c r="B147" s="100"/>
      <c r="C147" s="105" t="s">
        <v>404</v>
      </c>
      <c r="D147" s="92" t="s">
        <v>201</v>
      </c>
      <c r="E147" s="92" t="s">
        <v>183</v>
      </c>
      <c r="F147" s="92" t="s">
        <v>194</v>
      </c>
      <c r="G147" s="24" t="s">
        <v>401</v>
      </c>
      <c r="H147" s="92" t="s">
        <v>186</v>
      </c>
    </row>
    <row r="148" spans="1:8" x14ac:dyDescent="0.3">
      <c r="A148" s="93"/>
      <c r="B148" s="93"/>
      <c r="C148" s="96"/>
      <c r="D148" s="93"/>
      <c r="E148" s="93"/>
      <c r="F148" s="93"/>
      <c r="G148" s="24" t="s">
        <v>402</v>
      </c>
      <c r="H148" s="93"/>
    </row>
    <row r="149" spans="1:8" x14ac:dyDescent="0.3">
      <c r="A149" s="104">
        <v>350</v>
      </c>
      <c r="B149" s="92" t="s">
        <v>405</v>
      </c>
      <c r="C149" s="105" t="s">
        <v>406</v>
      </c>
      <c r="D149" s="92" t="s">
        <v>201</v>
      </c>
      <c r="E149" s="92" t="s">
        <v>183</v>
      </c>
      <c r="F149" s="92" t="s">
        <v>194</v>
      </c>
      <c r="G149" s="24" t="s">
        <v>319</v>
      </c>
      <c r="H149" s="92" t="s">
        <v>186</v>
      </c>
    </row>
    <row r="150" spans="1:8" x14ac:dyDescent="0.3">
      <c r="A150" s="93"/>
      <c r="B150" s="100"/>
      <c r="C150" s="96"/>
      <c r="D150" s="93"/>
      <c r="E150" s="93"/>
      <c r="F150" s="93"/>
      <c r="G150" s="24" t="s">
        <v>212</v>
      </c>
      <c r="H150" s="93"/>
    </row>
    <row r="151" spans="1:8" x14ac:dyDescent="0.3">
      <c r="A151" s="104">
        <v>351</v>
      </c>
      <c r="B151" s="100"/>
      <c r="C151" s="105" t="s">
        <v>407</v>
      </c>
      <c r="D151" s="92" t="s">
        <v>201</v>
      </c>
      <c r="E151" s="92" t="s">
        <v>183</v>
      </c>
      <c r="F151" s="92" t="s">
        <v>194</v>
      </c>
      <c r="G151" s="24" t="s">
        <v>319</v>
      </c>
      <c r="H151" s="92" t="s">
        <v>186</v>
      </c>
    </row>
    <row r="152" spans="1:8" x14ac:dyDescent="0.3">
      <c r="A152" s="93"/>
      <c r="B152" s="93"/>
      <c r="C152" s="96"/>
      <c r="D152" s="93"/>
      <c r="E152" s="93"/>
      <c r="F152" s="93"/>
      <c r="G152" s="24" t="s">
        <v>212</v>
      </c>
      <c r="H152" s="93"/>
    </row>
    <row r="153" spans="1:8" x14ac:dyDescent="0.3">
      <c r="A153" s="104">
        <v>352</v>
      </c>
      <c r="B153" s="107" t="s">
        <v>408</v>
      </c>
      <c r="C153" s="105" t="s">
        <v>409</v>
      </c>
      <c r="D153" s="92" t="s">
        <v>201</v>
      </c>
      <c r="E153" s="92" t="s">
        <v>183</v>
      </c>
      <c r="F153" s="92" t="s">
        <v>410</v>
      </c>
      <c r="G153" s="24" t="s">
        <v>319</v>
      </c>
      <c r="H153" s="92" t="s">
        <v>186</v>
      </c>
    </row>
    <row r="154" spans="1:8" x14ac:dyDescent="0.3">
      <c r="A154" s="93"/>
      <c r="B154" s="93"/>
      <c r="C154" s="96"/>
      <c r="D154" s="93"/>
      <c r="E154" s="93"/>
      <c r="F154" s="93"/>
      <c r="G154" s="24" t="s">
        <v>212</v>
      </c>
      <c r="H154" s="93"/>
    </row>
  </sheetData>
  <autoFilter ref="A1:H154" xr:uid="{00000000-0009-0000-0000-000003000000}"/>
  <mergeCells count="245">
    <mergeCell ref="A1:A2"/>
    <mergeCell ref="H153:H154"/>
    <mergeCell ref="F153:F154"/>
    <mergeCell ref="D121:D122"/>
    <mergeCell ref="F121:F122"/>
    <mergeCell ref="A81:A82"/>
    <mergeCell ref="F77:F78"/>
    <mergeCell ref="E85:E86"/>
    <mergeCell ref="H77:H78"/>
    <mergeCell ref="C81:C82"/>
    <mergeCell ref="D89:D90"/>
    <mergeCell ref="H87:H88"/>
    <mergeCell ref="D123:D124"/>
    <mergeCell ref="F123:F124"/>
    <mergeCell ref="H141:H142"/>
    <mergeCell ref="C145:C146"/>
    <mergeCell ref="E145:E146"/>
    <mergeCell ref="E127:E128"/>
    <mergeCell ref="F147:F148"/>
    <mergeCell ref="B125:B135"/>
    <mergeCell ref="C108:C109"/>
    <mergeCell ref="F143:F144"/>
    <mergeCell ref="H103:H104"/>
    <mergeCell ref="C147:C148"/>
    <mergeCell ref="C9:C10"/>
    <mergeCell ref="E153:E154"/>
    <mergeCell ref="E35:E36"/>
    <mergeCell ref="E9:E10"/>
    <mergeCell ref="C127:C128"/>
    <mergeCell ref="A108:A109"/>
    <mergeCell ref="D91:D92"/>
    <mergeCell ref="D147:D148"/>
    <mergeCell ref="B1:B2"/>
    <mergeCell ref="E77:E78"/>
    <mergeCell ref="A18:A19"/>
    <mergeCell ref="A101:A102"/>
    <mergeCell ref="D24:D25"/>
    <mergeCell ref="D106:D107"/>
    <mergeCell ref="D137:D138"/>
    <mergeCell ref="D33:D34"/>
    <mergeCell ref="A28:A29"/>
    <mergeCell ref="C28:C29"/>
    <mergeCell ref="E22:E23"/>
    <mergeCell ref="C37:C38"/>
    <mergeCell ref="E37:E38"/>
    <mergeCell ref="A73:A74"/>
    <mergeCell ref="C24:C25"/>
    <mergeCell ref="A30:A31"/>
    <mergeCell ref="F151:F152"/>
    <mergeCell ref="A83:A84"/>
    <mergeCell ref="H20:H21"/>
    <mergeCell ref="C77:C78"/>
    <mergeCell ref="H151:H152"/>
    <mergeCell ref="F87:F88"/>
    <mergeCell ref="B58:B64"/>
    <mergeCell ref="A123:A124"/>
    <mergeCell ref="E151:E152"/>
    <mergeCell ref="H35:H36"/>
    <mergeCell ref="C141:C142"/>
    <mergeCell ref="A24:A25"/>
    <mergeCell ref="E141:E142"/>
    <mergeCell ref="F103:F104"/>
    <mergeCell ref="C33:C34"/>
    <mergeCell ref="H89:H90"/>
    <mergeCell ref="C89:C90"/>
    <mergeCell ref="E33:E34"/>
    <mergeCell ref="H108:H109"/>
    <mergeCell ref="C143:C144"/>
    <mergeCell ref="H73:H74"/>
    <mergeCell ref="E143:E144"/>
    <mergeCell ref="C26:C27"/>
    <mergeCell ref="C35:C36"/>
    <mergeCell ref="H18:H19"/>
    <mergeCell ref="D85:D86"/>
    <mergeCell ref="B39:B50"/>
    <mergeCell ref="H101:H102"/>
    <mergeCell ref="A93:A94"/>
    <mergeCell ref="B12:B38"/>
    <mergeCell ref="C106:C107"/>
    <mergeCell ref="H143:H144"/>
    <mergeCell ref="H33:H34"/>
    <mergeCell ref="E18:E19"/>
    <mergeCell ref="F106:F107"/>
    <mergeCell ref="A89:A90"/>
    <mergeCell ref="H26:H27"/>
    <mergeCell ref="A137:A138"/>
    <mergeCell ref="D28:D29"/>
    <mergeCell ref="E149:E150"/>
    <mergeCell ref="E30:E31"/>
    <mergeCell ref="F93:F94"/>
    <mergeCell ref="D83:D84"/>
    <mergeCell ref="C91:C92"/>
    <mergeCell ref="D93:D94"/>
    <mergeCell ref="B137:B142"/>
    <mergeCell ref="A106:A107"/>
    <mergeCell ref="E139:E140"/>
    <mergeCell ref="E147:E148"/>
    <mergeCell ref="A147:A148"/>
    <mergeCell ref="A121:A122"/>
    <mergeCell ref="A145:A146"/>
    <mergeCell ref="A139:A140"/>
    <mergeCell ref="D1:D2"/>
    <mergeCell ref="E83:E84"/>
    <mergeCell ref="H147:H148"/>
    <mergeCell ref="F1:F2"/>
    <mergeCell ref="C18:C19"/>
    <mergeCell ref="D81:D82"/>
    <mergeCell ref="C101:C102"/>
    <mergeCell ref="F24:F25"/>
    <mergeCell ref="F137:F138"/>
    <mergeCell ref="H106:H107"/>
    <mergeCell ref="E123:E124"/>
    <mergeCell ref="H137:H138"/>
    <mergeCell ref="C103:C104"/>
    <mergeCell ref="C73:C74"/>
    <mergeCell ref="C20:C21"/>
    <mergeCell ref="D145:D146"/>
    <mergeCell ref="E20:E21"/>
    <mergeCell ref="F145:F146"/>
    <mergeCell ref="G1:G2"/>
    <mergeCell ref="D20:D21"/>
    <mergeCell ref="D143:D144"/>
    <mergeCell ref="F139:F140"/>
    <mergeCell ref="F89:F90"/>
    <mergeCell ref="C22:C23"/>
    <mergeCell ref="F9:F10"/>
    <mergeCell ref="F149:F150"/>
    <mergeCell ref="D127:D128"/>
    <mergeCell ref="C153:C154"/>
    <mergeCell ref="D37:D38"/>
    <mergeCell ref="E91:E92"/>
    <mergeCell ref="B98:B107"/>
    <mergeCell ref="B111:B124"/>
    <mergeCell ref="E26:E27"/>
    <mergeCell ref="D30:D31"/>
    <mergeCell ref="E106:E107"/>
    <mergeCell ref="E24:E25"/>
    <mergeCell ref="D79:D80"/>
    <mergeCell ref="C87:C88"/>
    <mergeCell ref="C139:C140"/>
    <mergeCell ref="B149:B152"/>
    <mergeCell ref="D22:D23"/>
    <mergeCell ref="D108:D109"/>
    <mergeCell ref="F108:F109"/>
    <mergeCell ref="D151:D152"/>
    <mergeCell ref="B3:B11"/>
    <mergeCell ref="C83:C84"/>
    <mergeCell ref="B65:B67"/>
    <mergeCell ref="E28:E29"/>
    <mergeCell ref="C151:C152"/>
    <mergeCell ref="H121:H122"/>
    <mergeCell ref="B153:B154"/>
    <mergeCell ref="D153:D154"/>
    <mergeCell ref="A79:A80"/>
    <mergeCell ref="F83:F84"/>
    <mergeCell ref="D149:D150"/>
    <mergeCell ref="H83:H84"/>
    <mergeCell ref="A153:A154"/>
    <mergeCell ref="A103:A104"/>
    <mergeCell ref="C85:C86"/>
    <mergeCell ref="H93:H94"/>
    <mergeCell ref="F85:F86"/>
    <mergeCell ref="D139:D140"/>
    <mergeCell ref="H85:H86"/>
    <mergeCell ref="A87:A88"/>
    <mergeCell ref="D141:D142"/>
    <mergeCell ref="E103:E104"/>
    <mergeCell ref="F141:F142"/>
    <mergeCell ref="A149:A150"/>
    <mergeCell ref="H123:H124"/>
    <mergeCell ref="F91:F92"/>
    <mergeCell ref="E108:E109"/>
    <mergeCell ref="H149:H150"/>
    <mergeCell ref="A151:A152"/>
    <mergeCell ref="A141:A142"/>
    <mergeCell ref="A22:A23"/>
    <mergeCell ref="D18:D19"/>
    <mergeCell ref="D103:D104"/>
    <mergeCell ref="A33:A34"/>
    <mergeCell ref="H145:H146"/>
    <mergeCell ref="F28:F29"/>
    <mergeCell ref="H139:H140"/>
    <mergeCell ref="C149:C150"/>
    <mergeCell ref="H28:H29"/>
    <mergeCell ref="A20:A21"/>
    <mergeCell ref="F37:F38"/>
    <mergeCell ref="A77:A78"/>
    <mergeCell ref="H37:H38"/>
    <mergeCell ref="D73:D74"/>
    <mergeCell ref="A143:A144"/>
    <mergeCell ref="F73:F74"/>
    <mergeCell ref="B143:B148"/>
    <mergeCell ref="E101:E102"/>
    <mergeCell ref="H24:H25"/>
    <mergeCell ref="A35:A36"/>
    <mergeCell ref="H30:H31"/>
    <mergeCell ref="A127:A128"/>
    <mergeCell ref="C1:C2"/>
    <mergeCell ref="B108:B110"/>
    <mergeCell ref="C121:C122"/>
    <mergeCell ref="E1:E2"/>
    <mergeCell ref="E137:E138"/>
    <mergeCell ref="F18:F19"/>
    <mergeCell ref="F30:F31"/>
    <mergeCell ref="D101:D102"/>
    <mergeCell ref="F101:F102"/>
    <mergeCell ref="F79:F80"/>
    <mergeCell ref="B68:B72"/>
    <mergeCell ref="E87:E88"/>
    <mergeCell ref="C123:C124"/>
    <mergeCell ref="F26:F27"/>
    <mergeCell ref="C93:C94"/>
    <mergeCell ref="D87:D88"/>
    <mergeCell ref="F81:F82"/>
    <mergeCell ref="E89:E90"/>
    <mergeCell ref="D35:D36"/>
    <mergeCell ref="C30:C31"/>
    <mergeCell ref="C79:C80"/>
    <mergeCell ref="E81:E82"/>
    <mergeCell ref="D26:D27"/>
    <mergeCell ref="B73:B97"/>
    <mergeCell ref="H9:H10"/>
    <mergeCell ref="E79:E80"/>
    <mergeCell ref="F127:F128"/>
    <mergeCell ref="C137:C138"/>
    <mergeCell ref="E73:E74"/>
    <mergeCell ref="H127:H128"/>
    <mergeCell ref="H79:H80"/>
    <mergeCell ref="A91:A92"/>
    <mergeCell ref="A85:A86"/>
    <mergeCell ref="H81:H82"/>
    <mergeCell ref="H91:H92"/>
    <mergeCell ref="E93:E94"/>
    <mergeCell ref="D77:D78"/>
    <mergeCell ref="F20:F21"/>
    <mergeCell ref="F35:F36"/>
    <mergeCell ref="F22:F23"/>
    <mergeCell ref="A26:A27"/>
    <mergeCell ref="H22:H23"/>
    <mergeCell ref="F33:F34"/>
    <mergeCell ref="A37:A38"/>
    <mergeCell ref="A9:A10"/>
    <mergeCell ref="E121:E122"/>
    <mergeCell ref="D9:D10"/>
    <mergeCell ref="B51:B57"/>
  </mergeCells>
  <pageMargins left="0.7" right="0.7" top="0.75" bottom="0.75" header="0.3" footer="0.3"/>
  <pageSetup paperSize="9" scale="40" orientation="portrait" horizontalDpi="1200" verticalDpi="1200" r:id="rId1"/>
  <headerFooter>
    <oddHeader>&amp;L&amp;G&amp;R ProVu Vista Display
Software Integration Test Request
Document ID : GTD-001263/A
Date : 22-Sep-2026</oddHeader>
    <oddFooter>&amp;LGOP 004, Design and Development 
GOP004-F14 Issue No: 2&amp;R &amp;P of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CoverPage</vt:lpstr>
      <vt:lpstr>About </vt:lpstr>
      <vt:lpstr>Test Script</vt:lpstr>
      <vt:lpstr>Error Event Table</vt:lpstr>
      <vt:lpstr>'About '!Print_Area</vt:lpstr>
      <vt:lpstr>CoverPage!Print_Area</vt:lpstr>
      <vt:lpstr>'Test Script'!Print_Area</vt:lpstr>
      <vt:lpstr>'Test Script'!Print_Titles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Pareek</dc:creator>
  <cp:lastModifiedBy>Ayush Pareek</cp:lastModifiedBy>
  <cp:revision>0</cp:revision>
  <dcterms:created xsi:type="dcterms:W3CDTF">2026-09-21T04:54:28Z</dcterms:created>
  <dcterms:modified xsi:type="dcterms:W3CDTF">2026-09-25T03:33:34Z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0x010100AE5721F878313C48AB8BCF4E9976D9AA</vt:lpwstr>
  </property>
  <property fmtid="{D5CDD505-2E9C-101B-9397-08002B2CF9AE}" pid="3" name="MSIP_Label_5122aa8a-63d8-4890-953f-1b438f48f6cb_ActionId">
    <vt:lpwstr>bc7d992f-7b60-4055-aeb4-c01bbcb7317c</vt:lpwstr>
  </property>
  <property fmtid="{D5CDD505-2E9C-101B-9397-08002B2CF9AE}" pid="4" name="MSIP_Label_5122aa8a-63d8-4890-953f-1b438f48f6cb_ContentBits">
    <vt:lpwstr>0</vt:lpwstr>
  </property>
  <property fmtid="{D5CDD505-2E9C-101B-9397-08002B2CF9AE}" pid="5" name="MSIP_Label_5122aa8a-63d8-4890-953f-1b438f48f6cb_Enabled">
    <vt:lpwstr>true</vt:lpwstr>
  </property>
  <property fmtid="{D5CDD505-2E9C-101B-9397-08002B2CF9AE}" pid="6" name="MSIP_Label_5122aa8a-63d8-4890-953f-1b438f48f6cb_Method">
    <vt:lpwstr>Standard</vt:lpwstr>
  </property>
  <property fmtid="{D5CDD505-2E9C-101B-9397-08002B2CF9AE}" pid="7" name="MSIP_Label_5122aa8a-63d8-4890-953f-1b438f48f6cb_Name">
    <vt:lpwstr>defa4170-0d19-0005-0004-bc88714345d2</vt:lpwstr>
  </property>
  <property fmtid="{D5CDD505-2E9C-101B-9397-08002B2CF9AE}" pid="8" name="MSIP_Label_5122aa8a-63d8-4890-953f-1b438f48f6cb_SetDate">
    <vt:lpwstr>2023-08-07T04:42:34Z</vt:lpwstr>
  </property>
  <property fmtid="{D5CDD505-2E9C-101B-9397-08002B2CF9AE}" pid="9" name="MSIP_Label_5122aa8a-63d8-4890-953f-1b438f48f6cb_SiteId">
    <vt:lpwstr>fdbe9f57-3e2d-42ae-bc9f-77a00cf549de</vt:lpwstr>
  </property>
  <property fmtid="{D5CDD505-2E9C-101B-9397-08002B2CF9AE}" pid="10" name="obid">
    <vt:lpwstr>VR:wt.doc.WTDocument:37509017:895244855-1683632717428-454096398-3-157-22-195@fchill1.flexicare.com</vt:lpwstr>
  </property>
  <property fmtid="{D5CDD505-2E9C-101B-9397-08002B2CF9AE}" pid="11" name="Context Creator">
    <vt:lpwstr>Windchill Admin</vt:lpwstr>
  </property>
  <property fmtid="{D5CDD505-2E9C-101B-9397-08002B2CF9AE}" pid="12" name="Context Create Timestamp">
    <vt:lpwstr>07-06-2023 16:59:34</vt:lpwstr>
  </property>
  <property fmtid="{D5CDD505-2E9C-101B-9397-08002B2CF9AE}" pid="13" name="iterationObid">
    <vt:lpwstr>OR:wt.doc.WTDocument:37556225</vt:lpwstr>
  </property>
  <property fmtid="{D5CDD505-2E9C-101B-9397-08002B2CF9AE}" pid="14" name="Created On">
    <vt:lpwstr>21-09-2026 11:59:11</vt:lpwstr>
  </property>
  <property fmtid="{D5CDD505-2E9C-101B-9397-08002B2CF9AE}" pid="15" name="versionInfo">
    <vt:lpwstr>A.3</vt:lpwstr>
  </property>
  <property fmtid="{D5CDD505-2E9C-101B-9397-08002B2CF9AE}" pid="16" name="wtname">
    <vt:lpwstr>Software Integration Test Request - 09</vt:lpwstr>
  </property>
  <property fmtid="{D5CDD505-2E9C-101B-9397-08002B2CF9AE}" pid="17" name="URL">
    <vt:lpwstr>https://fchill1.flexicare.com/Windchill/servlet/WindchillGW/wt.fv.master.StandardMasterService/doDirectDownload/GTD-001263%20Software%20Integration%20Test%20Request%20-%2009.xlsx?folderId=36426610&amp;ft=FF&amp;userid=4827843&amp;adId=37556231&amp;fileName=000000008f75cd&amp;refsize=88835&amp;mime=application%2Fvnd.openxmlformats-officedocument.spreadsheetml.sheet&amp;mk=wt.fv.master.StandardMasterService&amp;c=91&amp;riid=-1&amp;sT=1790307184&amp;sign=GSY1liPG9Y%2FuncpLgG4Nn9ZyMlLMf1kerw9f6cXQKlY%3D&amp;site=https%3A%2F%2Ffchill1.flexicare.com%2FWindchill%2Fservlet%2FWindchillGW&amp;AUTH_CODE=HmacSHA256&amp;isProxy=true</vt:lpwstr>
  </property>
  <property fmtid="{D5CDD505-2E9C-101B-9397-08002B2CF9AE}" pid="18" name="Modified By">
    <vt:lpwstr>Ayush Pareek</vt:lpwstr>
  </property>
  <property fmtid="{D5CDD505-2E9C-101B-9397-08002B2CF9AE}" pid="19" name="Type">
    <vt:lpwstr>Generic Technical Document (GTD)</vt:lpwstr>
  </property>
  <property fmtid="{D5CDD505-2E9C-101B-9397-08002B2CF9AE}" pid="20" name="RevisionInfo">
    <vt:lpwstr>A</vt:lpwstr>
  </property>
  <property fmtid="{D5CDD505-2E9C-101B-9397-08002B2CF9AE}" pid="21" name="Context Last Modified Timestamp">
    <vt:lpwstr>31-10-2023 22:04:24</vt:lpwstr>
  </property>
  <property fmtid="{D5CDD505-2E9C-101B-9397-08002B2CF9AE}" pid="22" name="Context Number">
    <vt:lpwstr/>
  </property>
  <property fmtid="{D5CDD505-2E9C-101B-9397-08002B2CF9AE}" pid="23" name="Document number">
    <vt:lpwstr>GTD-001263</vt:lpwstr>
  </property>
  <property fmtid="{D5CDD505-2E9C-101B-9397-08002B2CF9AE}" pid="24" name="organization">
    <vt:lpwstr>Flexicare</vt:lpwstr>
  </property>
  <property fmtid="{D5CDD505-2E9C-101B-9397-08002B2CF9AE}" pid="25" name="context">
    <vt:lpwstr>155 - ProVu Accessories</vt:lpwstr>
  </property>
  <property fmtid="{D5CDD505-2E9C-101B-9397-08002B2CF9AE}" pid="26" name="Created By">
    <vt:lpwstr>Ayush Pareek</vt:lpwstr>
  </property>
  <property fmtid="{D5CDD505-2E9C-101B-9397-08002B2CF9AE}" pid="27" name="Context Template">
    <vt:lpwstr>Flexicare Product Template1</vt:lpwstr>
  </property>
  <property fmtid="{D5CDD505-2E9C-101B-9397-08002B2CF9AE}" pid="28" name="Modified On">
    <vt:lpwstr>22-09-2026 10:26:53</vt:lpwstr>
  </property>
  <property fmtid="{D5CDD505-2E9C-101B-9397-08002B2CF9AE}" pid="29" name="lifeCycleState">
    <vt:lpwstr>Preproduction</vt:lpwstr>
  </property>
</Properties>
</file>