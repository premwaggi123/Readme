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yush.Pareek\Documents\Windchill\Product\155 - ProVu Accessories\Documents\Design\Mindteck Test Scripts\"/>
    </mc:Choice>
  </mc:AlternateContent>
  <xr:revisionPtr revIDLastSave="0" documentId="8_{CFF1C803-0319-4A3E-B15C-3705CFB8F43B}" xr6:coauthVersionLast="47" xr6:coauthVersionMax="47" xr10:uidLastSave="{00000000-0000-0000-0000-000000000000}"/>
  <bookViews>
    <workbookView xWindow="-108" yWindow="-108" windowWidth="23256" windowHeight="12456" xr2:uid="{00000000-000D-0000-FFFF-FFFF00000000}"/>
  </bookViews>
  <sheets>
    <sheet name="CoverPage" sheetId="5" r:id="rId1"/>
    <sheet name="About " sheetId="4" r:id="rId2"/>
    <sheet name="Test Script" sheetId="2" r:id="rId3"/>
    <sheet name="Latency Test Record" sheetId="7" r:id="rId4"/>
    <sheet name="Aspect ratio Test" sheetId="6" r:id="rId5"/>
    <sheet name="Default Configuration Broncho" sheetId="8" r:id="rId6"/>
  </sheets>
  <definedNames>
    <definedName name="_Toc185239913" localSheetId="0">CoverPage!#REF!</definedName>
    <definedName name="_Toc185239914" localSheetId="0">CoverPage!#REF!</definedName>
    <definedName name="_xlnm.Print_Area" localSheetId="1">'About '!$A$1:$I$23</definedName>
    <definedName name="_xlnm.Print_Area" localSheetId="0">CoverPage!$A$1:$F$59</definedName>
    <definedName name="_xlnm.Print_Area" localSheetId="2">'Test Script'!$A$1:$D$162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7" l="1"/>
  <c r="D4" i="7"/>
  <c r="D5" i="7"/>
  <c r="B4" i="7"/>
  <c r="D3" i="7"/>
  <c r="D6" i="7"/>
  <c r="D7" i="7"/>
  <c r="D8" i="7"/>
  <c r="D9" i="7"/>
  <c r="D10" i="7"/>
  <c r="D11" i="7"/>
  <c r="D12" i="7"/>
  <c r="D13" i="7"/>
  <c r="D14" i="7"/>
  <c r="D15" i="7"/>
  <c r="D16" i="7"/>
  <c r="D17" i="7"/>
  <c r="D18" i="7"/>
  <c r="D19" i="7"/>
  <c r="D20" i="7"/>
  <c r="D21" i="7"/>
  <c r="D22" i="7"/>
  <c r="B3" i="7"/>
  <c r="B5" i="7"/>
  <c r="B6" i="7"/>
  <c r="B7" i="7"/>
  <c r="B8" i="7"/>
  <c r="B9" i="7"/>
  <c r="B10" i="7"/>
  <c r="B11" i="7"/>
  <c r="B12" i="7"/>
  <c r="B13" i="7"/>
  <c r="B14" i="7"/>
  <c r="B15" i="7"/>
  <c r="B16" i="7"/>
  <c r="B17" i="7"/>
  <c r="B18" i="7"/>
  <c r="B19" i="7"/>
  <c r="B20" i="7"/>
  <c r="B21" i="7"/>
  <c r="B22" i="7"/>
  <c r="E23" i="7"/>
  <c r="A1" i="2"/>
</calcChain>
</file>

<file path=xl/sharedStrings.xml><?xml version="1.0" encoding="utf-8"?>
<sst xmlns="http://schemas.openxmlformats.org/spreadsheetml/2006/main" count="998" uniqueCount="758">
  <si>
    <t>155 - ProVu Accessories</t>
  </si>
  <si>
    <t>ProVu Vista Display – Software Integration Test Request - 01</t>
  </si>
  <si>
    <t>Project:</t>
  </si>
  <si>
    <t>Document ID/Version:</t>
  </si>
  <si>
    <t xml:space="preserve"> GTD-001224/A</t>
  </si>
  <si>
    <t>DOCUMENT HISTORY</t>
  </si>
  <si>
    <t>Version</t>
  </si>
  <si>
    <t>Document Changes</t>
  </si>
  <si>
    <t>Author</t>
  </si>
  <si>
    <t>Date</t>
  </si>
  <si>
    <t>A</t>
  </si>
  <si>
    <t>Initial release</t>
  </si>
  <si>
    <t>Abhishek Shukla</t>
  </si>
  <si>
    <t>Associated Documents</t>
  </si>
  <si>
    <t xml:space="preserve">Document No </t>
  </si>
  <si>
    <t>Document Title</t>
  </si>
  <si>
    <t>SRS-000053</t>
  </si>
  <si>
    <t>ProVu Vista Display –SOFTWARE REQUIREMENT SPECIFICATION</t>
  </si>
  <si>
    <t>GTD-000993</t>
  </si>
  <si>
    <t xml:space="preserve"> PROVU2 LARGE DISPLAY Software Test Plan</t>
  </si>
  <si>
    <t>Attachment</t>
  </si>
  <si>
    <t xml:space="preserve"> Name</t>
  </si>
  <si>
    <t>Description And Summary</t>
  </si>
  <si>
    <t>Attachments</t>
  </si>
  <si>
    <t>Attachement having test binaries</t>
  </si>
  <si>
    <t>Note: Use the Updated test binaries from Azure on given link :  https://dev.azure.com/FlexicareDevOps/ProVu%2015/_git/provu2_test_suite</t>
  </si>
  <si>
    <t xml:space="preserve"> GTD-001224:  Software Integration Test Request-01</t>
  </si>
  <si>
    <t>Test Request Information</t>
  </si>
  <si>
    <t>Revision</t>
  </si>
  <si>
    <t>xxx</t>
  </si>
  <si>
    <t>Software Version</t>
  </si>
  <si>
    <t>STP</t>
  </si>
  <si>
    <t>Reference</t>
  </si>
  <si>
    <t>Hardware Version</t>
  </si>
  <si>
    <t xml:space="preserve">Test objective </t>
  </si>
  <si>
    <t>Verify the ProVu Vista Display camera integration functions covering camera image acquisition, image processing, display output, camera detection, camera power control, camera LED brightness, and camera image property handling as per the associated software requirements.</t>
  </si>
  <si>
    <t>Test Coverage</t>
  </si>
  <si>
    <t>Test coverage areas:
• Camera detection, connection/disconnection, and camera-type compatibility
• Supported video formats, resolution, aspect ratio, frame rate, and latency
• Image exposure, zoom, orientation, and display output
• LCD brightness, Dual View operation, and screen recording
• Camera frame-loss detection, error handling, and audible notifications
• Camera power control, Power-Good GPIOs, and RK3568-to-FPGA I2C configuration
• USB camera detection and power control
• Bronchoscope EEPROM detection, read/write access, and OV428 register configuration
SRS requirements covered (26):
Camera: SRS-FUN-CAM-010, SRS-FUN-CAM-020, SRS-FUN-CAM-030, SRS-FUN-CAM-040, SRS-FUN-CAM-050, SRS-FUN-CAM-060, SRS-FUN-CAM-070, SRS-FUN-CAM-080, SRS-FUN-CAM-1460, SRS-FUN-CAM-1680-01, SRS-FUN-CAM-1680-07, SRS-FUN-CAM-1690, SRS-FUN-CAM-1700, SRS-FUN-CAM-1710, SRS-FUN-CAM-1820, SRS-FUN-CAM-1840, SRS-FUN-CAM-2030, SRS-FUN-CAM-2080, SRS-FUN-CAM-2170
GUI: SRS-FUN-GUI-210, SRS-FUN-GUI-220, SRS-FUN-GUI-270
USB: SRS-FUN-USB-1660, SRS-FUN-USB-1670
Power: SRS-FUN-PWR-1890
Software: SRS-FUN-SFT-200</t>
  </si>
  <si>
    <t>Test Execution Instructions</t>
  </si>
  <si>
    <t>1. Execute the camera integration test cases in the sequence defined in the "Test Script" sheet. Ensure the required cameras, LED blinker/LDR setup, logic analyzer, and device display are connected where applicable.
2. Record all measured latency, ADC, detection time, brightness, and image-property results in the "Actual Result" column.</t>
  </si>
  <si>
    <t>Test environment</t>
  </si>
  <si>
    <t>Production-complete ProVu Vista Display device powered by its battery, with the device serial port connected to a Windows/Linux PC for running commands and verifying command output and logs. A logic analyzer used to test and verify camera and control signals.
Supported cameras:
• VS camera
• VL camera
• Bronchoscope camera</t>
  </si>
  <si>
    <t>Definitions or Acronyms Used</t>
  </si>
  <si>
    <t>VS – Video Stylet
VL – Video Laryngoscope
ADC – Analog-to-Digital Converter
GPIO – General Purpose Input/Output
FPGA – Field Programmable Gate Array</t>
  </si>
  <si>
    <t>Instruments &amp; Tools</t>
  </si>
  <si>
    <t>• Production-complete ProVu Vista Display device with battery
• Supported VS, VL, and bronchoscope cameras
• Bronchoscope development board with camera
• USB-to-serial/serial-port cable and required connection cables
• Windows/Linux PC with a terminal application
• Logic analyzer and PicoScope
• Device terminal/log interface and screen-recording function</t>
  </si>
  <si>
    <t>Fail/Pass Criteria</t>
  </si>
  <si>
    <t>The test will be considered as pass if actual result meets the expected criteria in sheet "Test Script"</t>
  </si>
  <si>
    <t xml:space="preserve">Test Report Reference: </t>
  </si>
  <si>
    <t>/* Add the related Test Report document number here */</t>
  </si>
  <si>
    <t>Comments:</t>
  </si>
  <si>
    <t xml:space="preserve">Note:
1. After each test completion of given test IDs Power OFF the device and remove the camera cables , and on startup of next test follow the instructions.
2. For serial cable connection sniff the Tx, Rx and GND for serial communication from the device, Make sure the software used has the enabled serial cable. 
3. Used $root for login in serial and dmesg -n 2 for stopping the continue message. 
Note: Use the Updated test binaries from Azure on given link :  https://dev.azure.com/FlexicareDevOps/ProVu%2015/_git/provu2_test_suite before starting the tests of this scripts.	
Note: The software Being tested here is serial enabled version.			</t>
  </si>
  <si>
    <t>Test Case No.</t>
  </si>
  <si>
    <t>Test Descriptions</t>
  </si>
  <si>
    <t>Expected Result</t>
  </si>
  <si>
    <t xml:space="preserve">Actual Result </t>
  </si>
  <si>
    <t>The below steps verify the software version</t>
  </si>
  <si>
    <t>Power On the device and configured the welcome page.</t>
  </si>
  <si>
    <t>Setup</t>
  </si>
  <si>
    <t xml:space="preserve">Go to device information page </t>
  </si>
  <si>
    <t>Verify that the device displays the following version information on the screen: 
1. OS Build Version 
2. Application Version 
3. Hardware Version
4. FPGA Version</t>
  </si>
  <si>
    <t>Device should display the version information correctly.</t>
  </si>
  <si>
    <t>Does the device display the version information correctly? _____ 
Record the versions: 
OS Build Version: _____ 
Application Version: _____ 
Hardware Version: _____
FPGA Version</t>
  </si>
  <si>
    <t>Verify that the displayed versions match the versions mentioned on the "About" page.</t>
  </si>
  <si>
    <t>Device version information should match the "About" page.</t>
  </si>
  <si>
    <t>Does Device version information should match the "About" page?_____</t>
  </si>
  <si>
    <r>
      <t>Test ID: STS-ProvUVista-Integration-000010
Software item (under test):</t>
    </r>
    <r>
      <rPr>
        <i/>
        <sz val="12"/>
        <color rgb="FF000000"/>
        <rFont val="Arial"/>
        <family val="2"/>
      </rPr>
      <t xml:space="preserve"> SRS-FUN-CAM-010 , SRS-FUN-CAM-020 , SRS-FUN-CAM-030 </t>
    </r>
  </si>
  <si>
    <t>Connect the VL camera to the ProVu Vista Display device on PORT B and power ON the device. Connect the device serial port to a Windows/Linux PC and open the terminal interface.
Run command:
v4l2-ctl --list-devices</t>
  </si>
  <si>
    <t>Device should boot successfully and the VL camera should be detected by the terminal command output.
Expected output should show:
VL Camera
/dev/video9</t>
  </si>
  <si>
    <t>Is the VL camera connected and detected? _____
Detected device node: _____
Does device display the camera feed?___</t>
  </si>
  <si>
    <t>Check the supported VL camera formats and current active video format using the terminal commands.
Check supported formats:
v4l2-ctl -d /dev/video9 --list-formats-ext
Check current format:
v4l2-ctl -d /dev/video9 --get-fmt-video
Verify The Aspect ratio for camera Port B from sheet "Aspect ratio Test" Table 1</t>
  </si>
  <si>
    <t xml:space="preserve">Terminal shall display the Supported format output should include:
Pixel Format: 'YUYV'
Size: Discrete 640x480
Current format output should show:
Width: 640
Height: 480
Pixel Format: YUYV
Device pass the spect ration test for camera Port B from sheet "Aspect ratio Test" Table 1. </t>
  </si>
  <si>
    <t>Does Supported format contains YUYV 640x480? _____
Recorded current format:
Width: _____
Height: _____
Pixel Format: _____
Is current format YUYV and resolution 640 × 480? _____
Does device Pass the aspect ratio Test from for camera Port B from sheet "Aspect ratio Test" Table 1 ?___</t>
  </si>
  <si>
    <t xml:space="preserve">Remove the Vl camera from Port B. </t>
  </si>
  <si>
    <t>Connect the VL camera to the ProVu Vista Display device on PORT C
Run command:
v4l2-ctl --list-devices</t>
  </si>
  <si>
    <t>The VL camera should be detected by the terminal command output.
Expected output should show:
VL Camera
/dev/video9</t>
  </si>
  <si>
    <t>Check the supported VL camera formats and current active video format using the terminal commands.
Check supported formats:
v4l2-ctl -d /dev/video9 --list-formats-ext
Check current format:
v4l2-ctl -d /dev/video9 --get-fmt-video
Verify The Aspect ratio for camera Port C from sheet "Aspect ratio Test" Table 2</t>
  </si>
  <si>
    <t>Terminal shall display the Supported format output should include:
Pixel Format: 'YUYV'
Size: Discrete 640x480
Current format output should show:
Width: 640
Height: 480
Pixel Format: YUYV
Device pass the spect ratio test for camera Port C from sheet "Aspect ratio Test" Table 2</t>
  </si>
  <si>
    <t>Does Supported format contains YUYV 640x480? _____
Recorded current format:
Width: _____
Height: _____
Pixel Format: _____
Is current format YUYV and resolution 640 × 480? _____
Does device Pass the aspect ratio Test from for camera Port C from sheet "Aspect ratio Test" Table 2 ?___</t>
  </si>
  <si>
    <t xml:space="preserve">Remove the Vl camera from Port C. </t>
  </si>
  <si>
    <t xml:space="preserve">Connect a Webcam on Device Port B which has the resolution of 1920*1080.
Check the supported VL camera formats and current active video format using the terminal commands.
Check current format:
v4l2-ctl -d /dev/video9 --get-fmt-video
Check the device screen for camera error and warning message.
Navigate to the device error log page.
Verify the ERROR  log ID00030.
</t>
  </si>
  <si>
    <t xml:space="preserve">Device Terminal log shall display the supported resolution as 1920*1080.
Device should display the Camrea Error screen on display.
Device shall display the Error text as
 "Fault detected on  camera Port 2. 
Check camera and connections."
Device shall display the Error log ID: 00030 with below texts
"Fault with camera port#2  ( Accessories )"
</t>
  </si>
  <si>
    <t>Recorded current format:
Width: _____
Height: _____
Pixel Format: _____
Is mismatch resolution 1920 × 1080 observed? _____
Is Camera Error screen displayed? _____
Displayed error text:
"Fault detected on camera Port 2. Check camera and connections." _____
Error log ID recorded: _____
Is Error ID 00030 logged? _____
Error log text:
"Fault with camera port#2 (Accessories)" _____</t>
  </si>
  <si>
    <t xml:space="preserve">Remove the  Webcam camera from Port B. </t>
  </si>
  <si>
    <t>Connect a Webcam on Device Port C which has the resolution of 1920*1080.
Check the supported VL camera formats and current active video format using the terminal commands.
Check current format:
v4l2-ctl -d /dev/video9 --get-fmt-video
Check the device screen for camera error and warning message.
Navigate to the device error log page.
Verify the ERROR  log ID00031.</t>
  </si>
  <si>
    <t xml:space="preserve">Device Terminal log shall display the supported resolution as 1920*1080.
Device should display the Camrea Error screen on display.
Device shall display the Error text as
 "Fault detected on  camera Port 3. 
Check camera and connections."
Device shall display the Error log ID: 00031 with below texts
"Fault with camera port#3  ( Accessories )"
</t>
  </si>
  <si>
    <t>Recorded current format:
Width: _____
Height: _____
Pixel Format: _____
Is mismatch resolution 1920 × 1080 observed? _____
Is Camera Error screen displayed? _____
Displayed error text:
"Fault detected on camera Port 3. Check camera and connections." _____
Error log ID recorded: _____
Is Error ID 00031 logged? _____
Error log text:
"Fault with camera port#3 (Accessories)" _____</t>
  </si>
  <si>
    <t xml:space="preserve">Remove the  Webcam camera from Port C. </t>
  </si>
  <si>
    <t>Connect the VS camera to the ProVu Vista Display device on PORT B
Run command:
v4l2-ctl --list-devices</t>
  </si>
  <si>
    <t>VS camera should be detected by the terminal command output.
Expected output should show:
VL Camera
/dev/video9</t>
  </si>
  <si>
    <t>Is the VS camera connected and detected? _____
Detected device node: _____
Does device display the camera feed?___</t>
  </si>
  <si>
    <t>Check the supported VS camera formats and current active video format using the terminal commands.
Check supported formats:
v4l2-ctl -d /dev/video9 --list-formats-ext
Check current format:
v4l2-ctl -d /dev/video9 --get-fmt-video</t>
  </si>
  <si>
    <t>Terminal shall display the Supported format output should include:
Pixel Format: 'YUYV'
Size: Discrete 640x480
Current format output should show:
Width: 640
Height: 480
Pixel Format: YUYV</t>
  </si>
  <si>
    <t>Does Supported format contains YUYV 640x480? _____
Recorded current format:
Width: _____
Height: _____
Pixel Format: _____
Is current format YUYV and resolution 640 × 480? _____</t>
  </si>
  <si>
    <t xml:space="preserve">Remove the VS camera from Port B. </t>
  </si>
  <si>
    <t>Connect the VS camera to the ProVu Vista Display device on PORT C
Run command:
v4l2-ctl --list-devices</t>
  </si>
  <si>
    <t>The VS camera should be detected by the terminal command output.
Expected output should show:
VL Camera
/dev/video9</t>
  </si>
  <si>
    <t>Is the VS camera connected and detected? _____
Detected device node: _____
Does device display the camera feed ?___</t>
  </si>
  <si>
    <t>Check the supported VL camera formats and current active video format using the terminal commands.
Check supported formats:
v4l2-ctl -d /dev/video9 --list-formats-ext
Check current format:
v4l2-ctl -d /dev/video9 --get-fmt-video</t>
  </si>
  <si>
    <t xml:space="preserve">Remove the VS camera from Port C. </t>
  </si>
  <si>
    <t>Connect the Bronchoscope camera to the ProVu Vista Display device on PORT A
Run command:
v4l2-ctl --list-devices</t>
  </si>
  <si>
    <t xml:space="preserve">The VS camera should be detected by the terminal command output.
Expected output should show:
/dev/video0 </t>
  </si>
  <si>
    <t>Is the Bronchoscope camera connected and detected? _____
Detected device node: _____
Does device display the camera feed ?___</t>
  </si>
  <si>
    <t>Check the supported Bronchoscope camera formats and current active video format using the terminal commands.
Check supported formats:
v4l2-ctl -d /dev/video0 --list-formats-ext
Check current format:
v4l2-ctl -d /dev/video0 --get-fmt-video
Verify The Aspect ratio for camera Port A from sheet "Aspect ratio Test" Table 3</t>
  </si>
  <si>
    <t>Terminal shall display the Supported format output should include:
Pixel Format: "UYVY'
Size: Discrete 400x400
Current format output should show:
Width: 400
Height: 400
Pixel Format: UYVY
Device pass the spect ration test for camera Port A from sheet "Aspect ratio Test" Table 3.</t>
  </si>
  <si>
    <t>Does Supported format contains UYVY 400x400? _____
Recorded current format:
Width: _____
Height: _____
Pixel Format: _____
Is current format UYVY and resolution 400 × 400? _____
Does device Pass the aspect ratio Test from for camera Port A from sheet "Aspect ratio Test" Table 3 ?___</t>
  </si>
  <si>
    <t xml:space="preserve">Remove the Bronchoscope camera from Port A. </t>
  </si>
  <si>
    <t>Connect the faulty Bronchoscope.
Verify the camera Error screen and warning message on the proVu device 
Navigate to the error log screen and verify the error log message and ID.
Note: For creating the faulty bronchoscope use the Bronchoscope dev board and remove the camera while keep the board connected.</t>
  </si>
  <si>
    <t xml:space="preserve">Device should display the Camera Error screen on display.
Device shall display the Error text as
 "Fault detected on  camera Port 1. 
Check camera and connections."
Device shall display the Error log ID: 00029 with below texts
"Fault with camera port#1  ( Accessories )"
</t>
  </si>
  <si>
    <t>Is Camera Error screen displayed? _____
Displayed error text:
"Fault detected on camera Port 1. Check camera and connections." _____
Error log ID recorded: _____
Is Error ID 00029 logged? _____
Error log text:
"Fault with camera port#1 (Accessories)" _____</t>
  </si>
  <si>
    <r>
      <t>Test ID: STS-ProvUVista-Integration-000020
Software item (under test):</t>
    </r>
    <r>
      <rPr>
        <i/>
        <sz val="12"/>
        <color rgb="FF000000"/>
        <rFont val="Arial"/>
        <family val="2"/>
      </rPr>
      <t xml:space="preserve"> SRS-FUN-CAM-040</t>
    </r>
  </si>
  <si>
    <t>Connect the VS camera to Port B, the VL camera to Port C, and the Bronchoscope camera to Port A. Activate the VS and Bronchoscope camera feeds in Dual View mode.</t>
  </si>
  <si>
    <t>The device shall detect all three cameras and display the VS and Bronchoscope camera feeds simultaneously in Dual View mode.</t>
  </si>
  <si>
    <t>Are all three cameras detected? _____
Are the VS and Bronchoscope feeds displayed in Dual View mode? _____</t>
  </si>
  <si>
    <t>Start screen recording on the device while the VS and Bronchoscope camera feeds are active.</t>
  </si>
  <si>
    <t>Screen recording shall start successfully without interrupting either active camera feed.</t>
  </si>
  <si>
    <t>Does screen recording start successfully? _____
Do both active camera feeds remain uninterrupted? _____</t>
  </si>
  <si>
    <t>Place a stopwatch that displays milliseconds beside the ProVu Vista Display. Position the VS camera so that it clearly captures the stopwatch, and verify that the stopwatch time is visible on the device screen.</t>
  </si>
  <si>
    <t>The VS camera feed shall clearly display the stopwatch time, including milliseconds, on the device screen.</t>
  </si>
  <si>
    <t>Is the stopwatch clearly visible in the VS camera feed? _____
Are the milliseconds readable on the device screen? _____</t>
  </si>
  <si>
    <t>Start the stopwatch. Using an external camera or mobile phone, capture the physical stopwatch and the ProVu Vista Display in the same image. Capture 10 images at 5-second intervals.</t>
  </si>
  <si>
    <t>Ten images shall be captured at approximately 5-second intervals. Each image shall clearly show both the physical stopwatch time and the corresponding time displayed on the device screen.</t>
  </si>
  <si>
    <t>Number of images captured: _____
Were the images captured at approximately 5-second intervals? _____
Does each image clearly show both times? _____</t>
  </si>
  <si>
    <t>For each of the 10 captured images, enter the physical stopwatch time and the corresponding time shown on the device display in the "Latency Test Record" sheet. Verify that the sheet calculates and records the latency for each image.</t>
  </si>
  <si>
    <t>The physical and displayed stopwatch times shall be entered for all 10 images. The "Latency Test Record" sheet shall calculate and display the latency for each image in milliseconds.</t>
  </si>
  <si>
    <t>Are both stopwatch times entered for all 10 images? _____
Does the "Latency Test Record" sheet calculate all 10 latency values? _____</t>
  </si>
  <si>
    <t>Record the average latency calculated in cell E23 of the "Latency Test Record" sheet. Do not calculate the average manually.</t>
  </si>
  <si>
    <t>Cell E23 of the "Latency Test Record" sheet shall calculate the average from the recorded latency values. The calculated average shall be recorded in the Actual Result.</t>
  </si>
  <si>
    <t>Average latency recorded from the "Latency Test Record" sheet, cell E23: _____ ms</t>
  </si>
  <si>
    <t>Verify that the average latency calculated in cell E23 of the "Latency Test Record" sheet is less than 180 ms.</t>
  </si>
  <si>
    <t>The average latency calculated in cell E23 of the "Latency Test Record" sheet shall be less than 180 ms.</t>
  </si>
  <si>
    <t>Calculated average latency from cell E23: _____ ms
Is the calculated average latency less than 180 ms? _____</t>
  </si>
  <si>
    <t>Deactivate the Bronchoscope camera feed so that only the VS camera feed is active. Repeat Steps 280–320 and record the VS camera latency in Single View mode.</t>
  </si>
  <si>
    <t>The latency measurement shall be completed with only the VS camera feed active, and the calculated average latency shall be less than 180 ms.</t>
  </si>
  <si>
    <t>VS camera average latency in Single View mode: _____ ms
Is the average latency less than 180 ms? _____</t>
  </si>
  <si>
    <t>Activate the VS camera feed on Port B and the VL camera feed on Port C in Dual View mode. Repeat Steps 280–320 with the VL camera focused on the stopwatch, and record the VL camera latency.</t>
  </si>
  <si>
    <t>The latency measurement shall be completed for the VL camera while the VS and VL feeds are active in Dual View mode. The calculated average latency shall be less than 180 ms.</t>
  </si>
  <si>
    <t>VL camera average latency in Dual View mode: _____ ms
Is the average latency less than 180 ms? _____</t>
  </si>
  <si>
    <t>Activate the VS camera feed on Port B and the Bronchoscope camera feed on Port A in Dual View mode. Repeat Steps 280–320 with the Bronchoscope camera focused on the stopwatch, and record the Bronchoscope camera latency.</t>
  </si>
  <si>
    <t>The latency measurement shall be completed for the Bronchoscope camera while the VS and Bronchoscope feeds are active in Dual View mode. The calculated average latency shall be less than 180 ms.</t>
  </si>
  <si>
    <t>Bronchoscope average latency in Dual View mode: _____ ms
Is the average latency less than 180 ms? _____</t>
  </si>
  <si>
    <t>Install the custom "provu" latency-test binary from the "Latency Test Binary" attachment folder on the latest hardware.
1. Copy the binary to a USB drive and connect the drive to the device.
2. Connect to the device through the serial terminal.
3. Execute the following commands in sequence:
$ rm -f /usr/bin/provu
$ mount /dev/sda1 /mnt
$ cp /mnt/provu /usr/bin/provu
$ chmod +x /usr/bin/provu
$ sync
Verify that each command completes without error and that /usr/bin/provu is executable.</t>
  </si>
  <si>
    <t>The custom "provu" binary shall be copied to /usr/bin/provu and shall have executable permission. All commands shall complete without errors.</t>
  </si>
  <si>
    <t>Is the USB drive mounted successfully? _____
Is the "provu" binary copied to /usr/bin/provu? _____
Is executable permission applied to the binary? _____
Does each command complete without errors? _____</t>
  </si>
  <si>
    <t>Reboot the device.
Generate camera connection and disconnection events as follows:
1. Connect the Bronchoscope camera to Port A for 10 seconds, then disconnect it.
2. Connect the VS camera to Port B for 10 seconds, then disconnect it.
3. Connect the VL camera to Port C for 10 seconds, then disconnect it.
4. Start screen recording.
5. Reconnect the Bronchoscope, VS, and VL cameras to Ports A, B, and C, respectively. Keep them connected for 10 seconds, then disconnect all three cameras.</t>
  </si>
  <si>
    <t>The device shall reboot successfully. Each camera shall be detected on the correct port and removed without error. Screen recording shall start successfully, and all camera connection and disconnection events shall be captured by the latency-test software.</t>
  </si>
  <si>
    <t>Does the device reboot successfully? _____
Is the Bronchoscope detected on Port A? _____
Is the VS camera detected on Port B? _____
Is the VL camera detected on Port C? _____
Does screen recording start successfully? _____
Does each camera connection and disconnection event complete without errors? _____</t>
  </si>
  <si>
    <t>Use the device serial terminal to navigate to the /tmp directory:
$ cd /tmp
Verify that the latency data file exists:
$ ls -l /tmp/provu_frame_delta_ms
Copy "provu_frame_delta_ms" to a USB drive for analysis. Analyze the recorded data for Ports A, B, and C, and calculate the average processing time, render queue time, and end-to-end latency for each port.</t>
  </si>
  <si>
    <t>The file /tmp/provu_frame_delta_ms shall exist and contain latency records for Ports A, B, and C. The calculated averages for each applicable port shall meet these limits:
Average processing time &lt; 37.7 ms
Render queue time &lt; 29 ms
End-to-end latency &lt; 55 ms</t>
  </si>
  <si>
    <t>Is /tmp/provu_frame_delta_ms created? _____
Is the file copied successfully for analysis? _____
Port A — Processing: _____ ms; 
Render queue: _____ ms;
End-to-end: _____ ms
Port B — Processing: _____ ms; 
Render queue: _____ ms; 
End-to-end: _____ ms
Port C — Processing: _____ ms; 
Render queue: _____ ms;
End-to-end: _____ ms
Does each applicable average meet the specified limit? _____</t>
  </si>
  <si>
    <r>
      <t>Test ID: STS-ProvUVista-Integration-000030
Software item (under test):</t>
    </r>
    <r>
      <rPr>
        <i/>
        <sz val="12"/>
        <color rgb="FF000000"/>
        <rFont val="Arial"/>
        <family val="2"/>
      </rPr>
      <t xml:space="preserve"> SRS-FUN-CAM-050</t>
    </r>
  </si>
  <si>
    <t>Power ON the device with the custom software application that displays camera frame rate. 
Connect the Bronchoscope camera to Port A, VS camera to Port B, and VL camera to Port C.
Login with admin user and navigate to the live camera display screen.
Verify that the application can show the frame-rate indication for each active camera feed.( On Screen This should be right side of number )
Note: The software update package is added with name "update-bundle-provu" in attachment , update that software on device to measure the fps.</t>
  </si>
  <si>
    <t>Device shall boot successfully and allow admin login.
Device shall detect Bronchoscope, VS, and VL cameras.
Device shall display two active camera feeds as per the selected configuration and show frame-rate indication for the active feeds.</t>
  </si>
  <si>
    <t>Does the device boot and allow admin login? _____
Are Bronchoscope, VS, and VL cameras detected? _____
Are two active camera feeds displayed? _____
Is frame-rate indication visible for active feeds? _____</t>
  </si>
  <si>
    <t>Enable screen recording while Bronchoscope and VS camera feeds are active.
Verify that recording starts and the displayed frame-rate indication remains available for both active feeds.</t>
  </si>
  <si>
    <t>Device shall start screen recording without interrupting the active camera feeds.
Frame-rate indication shall remain visible for the active Bronchoscope and VS feeds during recording.</t>
  </si>
  <si>
    <t>Does screen recording start successfully? _____
Are Bronchoscope and VS feeds uninterrupted? _____
Is frame-rate indication still visible during recording? _____</t>
  </si>
  <si>
    <t>Measure and record the displayed frame rate for Bronchoscope and VS camera feeds for a continuous 10-minute period while screen recording is enabled.
Record minimum and average FPS for each feed.</t>
  </si>
  <si>
    <t>VS camera display frame rate shall be at least 15 fps.
Bronchoscope camera display frame rate shall be at least 25 fps.
No feed freeze, drop-out, or loss of frame-rate indication shall occur during the 10-minute observation.</t>
  </si>
  <si>
    <t>VS minimum FPS: _____
VS average FPS: _____
Bronchoscope minimum FPS: _____
Bronchoscope average FPS: _____
Did VS remain &gt;= 15 fps? _____
Did Bronchoscope remain &gt;= 25 fps? _____
Any freeze/drop-out observed? _____</t>
  </si>
  <si>
    <t>Deactivate the VS camera feed and activate the VL camera feed while keeping the Bronchoscope camera active.
Measure and record the displayed frame rate for Bronchoscope and VL camera feeds for a continuous 10-minute period.</t>
  </si>
  <si>
    <t>VL camera display frame rate shall be at least 15 fps.
Bronchoscope camera display frame rate shall be at least 25 fps.
Switching from VS to VL shall not interrupt the Bronchoscope feed or remove frame-rate indication.</t>
  </si>
  <si>
    <t>VL minimum FPS: _____
VL average FPS: _____
Bronchoscope minimum FPS: _____
Bronchoscope average FPS: _____
Did VL remain &gt;= 15 fps? _____
Did Bronchoscope remain &gt;= 25 fps? _____
Was Bronchoscope feed uninterrupted during switching? _____</t>
  </si>
  <si>
    <t>Verify frame rate with each camera type active alone: VS, VL, and Bronchoscope.
Then, with screen recording ON, connect a faulty camera on Port B while Bronchoscope is active and verify Bronchoscope frame rate.
Repeat by connecting a faulty camera on Port C while VS is active, then while VL is active, and verify the healthy camera frame rate and fault indication.</t>
  </si>
  <si>
    <t>When active alone or with a faulty camera connected, healthy camera feeds shall continue to meet the frame-rate requirement:
VS camera &gt;= 15 fps.
VL camera &gt;= 15 fps.
Bronchoscope camera &gt;= 25 fps.
Faulty camera connection shall be indicated without degrading the active healthy camera feed below the required frame rate.</t>
  </si>
  <si>
    <t>Single VS FPS min/avg: _____ / _____ Pass &gt;=15 fps? _____
Single VL FPS min/avg: _____ / _____ Pass &gt;=15 fps? _____
Single Bronchoscope FPS min/avg: _____ / _____ Pass &gt;=25 fps? _____
Faulty camera on Port B indicated? _____ Bronchoscope FPS min/avg: _____ / _____ Pass &gt;=25 fps? _____
Faulty camera on Port C indicated with VS active? _____ VS FPS min/avg: _____ / _____ Pass &gt;=15 fps? _____
Faulty camera on Port C indicated with VL active? _____ VL FPS min/avg: _____ / _____ Pass &gt;=15 fps? _____</t>
  </si>
  <si>
    <r>
      <rPr>
        <b/>
        <sz val="12"/>
        <color rgb="FF000000"/>
        <rFont val="Arial"/>
        <family val="2"/>
      </rPr>
      <t xml:space="preserve">Test ID: STS-ProvUVista-Integration-000040
Software item (under test): </t>
    </r>
    <r>
      <rPr>
        <sz val="12"/>
        <color rgb="FF000000"/>
        <rFont val="Arial"/>
        <family val="2"/>
      </rPr>
      <t>SRS-FUN-CAM-060</t>
    </r>
  </si>
  <si>
    <t>Power ON the device. Connect the Bronchoscope camera to Port A.
Connect the Logic analyzer to I2C Port 5.</t>
  </si>
  <si>
    <t>Device should be powered ON.
Logic analyzer should display the communication along with the register values being set.</t>
  </si>
  <si>
    <t xml:space="preserve">Is the device powered ON? _____
Does the logic analyzer display the communication with register values being set? _____
</t>
  </si>
  <si>
    <t>Keep the room lights ON and check the below registers value from logic analyzer.
0x3500
0x3501
0x3502</t>
  </si>
  <si>
    <t>Logic analyzer should display the registers with value.
0x3500
0x3501
0x3502</t>
  </si>
  <si>
    <t>Does the logic analyzer display the registers with values? _____
Recorded register values (lights ON):
0x3500: _____
0x3501: _____
0x3502: _____</t>
  </si>
  <si>
    <t>Turn OFF the room lights and reconnect the bronchoscope and check the values of the registers.
0x3500
0x3501
0x3502</t>
  </si>
  <si>
    <t>Device should change the values of the given registers.
0x3500
0x3501
0x3502
Device shall automatically adjust its exposure to compensate for changes in ambient lighting without user intervention.</t>
  </si>
  <si>
    <t xml:space="preserve">Did the register values change? _____
Recorded register values (lights OFF):
0x3500: _____
0x3501: _____
0x3502: _____
Did the device automatically adjust exposure without user intervention? _____
</t>
  </si>
  <si>
    <t>Connect the VL camera to Port B and VS camera to Port C.
Deselect the bronchoscope camera and select the VS and VL camera feed on the device.</t>
  </si>
  <si>
    <t>Device should display the VS and VL camera feed on the display.</t>
  </si>
  <si>
    <t>Are the VS and VL camera feeds displayed on the device? _____
Does Device display the VS and VL camera feed on the display.</t>
  </si>
  <si>
    <t>Execute the command:
v4l2-ctl -d /dev/video9 --list-ctrls-menu
v4l2-ctl -d /dev/video11 --list-ctrls-menu
Verify the supported values for exposure_auto
Note: Use the VS camera having exposer configurable settings.</t>
  </si>
  <si>
    <t xml:space="preserve">Auto Exposure control shall be available.
exposure_auto 0x009a0901 (menu)   :
 min=0 max=3 default=3 
value=3 (Aperture Priority Mode)
                                1: Manual Mode
                                3: Aperture Priority Mode
</t>
  </si>
  <si>
    <t>Is the Auto Exposure control available? _____
Recorded exposure_auto value:
/dev/video9: _____
/dev/video11: _____
Does device display the same controls as below:
exposure_auto 0x009a0901 (menu)   :
 min=0 max=3 default=3 
value=3 (Aperture Priority Mode)</t>
  </si>
  <si>
    <t>Execute the command:
v4l2-ctl -d /dev/video9 --set-ctrl=exposure_auto=1
v4l2-ctl -d /dev/video11 --set-ctrl=exposure_auto=1
Verify the supported values for exposure
Execute the command:
v4l2-ctl -d /dev/video9 --list-ctrls-menu
v4l2-ctl -d /dev/video11 --list-ctrls-menu</t>
  </si>
  <si>
    <t>Camera shall switch to Manual Exposure mode.
exposure_auto 0x009a0901 (menu)   : min=0 max=3 default=3 value=1 (Manual Mode)</t>
  </si>
  <si>
    <t>Was the command executed successfully? _____
Is the camera in Manual Exposure mode?
Recorded exposure_auto value:
/dev/video9: _____
/dev/video11: _____
Does device display the same controls as below:
Camera shall switch to Manual Exposure mode.
exposure_auto 0x009a0901 (menu)   : min=0 max=3 default=3 value=1 (Manual Mode)</t>
  </si>
  <si>
    <t>Reduce the ambient light or partially cover the camera lens.</t>
  </si>
  <si>
    <t>The image shall become darker and shall not automatically adjust to compensate for the reduced lighting.</t>
  </si>
  <si>
    <t>Does the image remain dark without automatic adjustment? _____
Does device behave the same as below:
The image shall become darker and shall not automatically adjust to compensate for the reduced lighting.</t>
  </si>
  <si>
    <t>Restore normal lighting or expose the camera to a bright scene.</t>
  </si>
  <si>
    <t>The image brightness shall not automatically adjust.</t>
  </si>
  <si>
    <t>Does the image remain without automatic exposure adjustment? _____
Does device behave the same as below:
The image brightness shall not automatically adjust.</t>
  </si>
  <si>
    <t>Execute the command:
v4l2-ctl -d /dev/video9 --set-ctrl=exposure_auto=3
v4l2-ctl -d /dev/video11 --set-ctrl=exposure_auto=3
Verify the supported values for exposure
Execute the command:
v4l2-ctl -d /dev/video9 --list-ctrls-menu
v4l2-ctl -d /dev/video11 --list-ctrls-menu</t>
  </si>
  <si>
    <t>Camera shall switch back to Auto Exposure mode.
exposure_auto 0x009a0901 (menu)   : min=0 max=3 default=3 value=3 (Aperture Priority Mode)</t>
  </si>
  <si>
    <t>Was the command executed successfully? _____
Is the camera back in Auto Exposure mode?
Recorded exposure_auto value:
/dev/video9: _____
/dev/video11: _____
Does device display the same controls as below:
Camera shall switch back to Auto Exposure mode.
exposure_auto 0x009a0901 (menu)   : min=0 max=3 default=3 value=3 (Aperture Priority Mode)</t>
  </si>
  <si>
    <t>The image shall automatically adjust to compensate for the reduced lighting for both of the camera feeds.</t>
  </si>
  <si>
    <t>Does the image adjust automatically for both camera feeds? _____
VS feed adjusts automatically? _____
VL feed adjusts automatically? _____
Does device behave the same as below:
The image shall automatically adjust to compensate for the reduced lighting for both of the camera feeds.</t>
  </si>
  <si>
    <r>
      <rPr>
        <b/>
        <sz val="12"/>
        <color rgb="FF000000"/>
        <rFont val="Arial"/>
        <family val="2"/>
      </rPr>
      <t xml:space="preserve">Test ID: STS-ProvUVista-Integration-000050
Software item (under test): </t>
    </r>
    <r>
      <rPr>
        <sz val="12"/>
        <color rgb="FF000000"/>
        <rFont val="Arial"/>
        <family val="2"/>
      </rPr>
      <t>SRS-FUN-CAM-070</t>
    </r>
  </si>
  <si>
    <t>Execute:
cat /sys/class/graphics/fb0/virtual_size</t>
  </si>
  <si>
    <r>
      <t xml:space="preserve">Framebuffer resolution shall be </t>
    </r>
    <r>
      <rPr>
        <b/>
        <sz val="11"/>
        <color theme="1"/>
        <rFont val="Calibri"/>
        <family val="2"/>
        <scheme val="minor"/>
      </rPr>
      <t>1920,1080</t>
    </r>
    <r>
      <rPr>
        <sz val="11"/>
        <color theme="1"/>
        <rFont val="Calibri"/>
        <family val="2"/>
        <scheme val="minor"/>
      </rPr>
      <t>.</t>
    </r>
  </si>
  <si>
    <t>Recorded virtual_size: _____
Is the framebuffer resolution 1920 × 1080? _____</t>
  </si>
  <si>
    <t>Execute:
cat /sys/class/graphics/fb0/bits_per_pixel</t>
  </si>
  <si>
    <r>
      <t xml:space="preserve">Framebuffer shall report </t>
    </r>
    <r>
      <rPr>
        <b/>
        <sz val="11"/>
        <color theme="1"/>
        <rFont val="Calibri"/>
        <family val="2"/>
        <scheme val="minor"/>
      </rPr>
      <t>32 bits per pixel</t>
    </r>
    <r>
      <rPr>
        <sz val="11"/>
        <color theme="1"/>
        <rFont val="Calibri"/>
        <family val="2"/>
        <scheme val="minor"/>
      </rPr>
      <t xml:space="preserve"> or </t>
    </r>
    <r>
      <rPr>
        <b/>
        <sz val="11"/>
        <color theme="1"/>
        <rFont val="Calibri"/>
        <family val="2"/>
        <scheme val="minor"/>
      </rPr>
      <t>24 bits per pixel</t>
    </r>
    <r>
      <rPr>
        <sz val="11"/>
        <color theme="1"/>
        <rFont val="Calibri"/>
        <family val="2"/>
        <scheme val="minor"/>
      </rPr>
      <t>, depending on platform implementation.</t>
    </r>
  </si>
  <si>
    <t>Recorded bits_per_pixel: _____
Is the framebuffer 32 bpp or 24 bpp? _____</t>
  </si>
  <si>
    <t>Execute:
fbset</t>
  </si>
  <si>
    <r>
      <t xml:space="preserve">Geometry shall report </t>
    </r>
    <r>
      <rPr>
        <b/>
        <sz val="11"/>
        <color theme="1"/>
        <rFont val="Calibri"/>
        <family val="2"/>
        <scheme val="minor"/>
      </rPr>
      <t>1920 × 1080</t>
    </r>
    <r>
      <rPr>
        <sz val="11"/>
        <color theme="1"/>
        <rFont val="Calibri"/>
        <family val="2"/>
        <scheme val="minor"/>
      </rPr>
      <t>.</t>
    </r>
  </si>
  <si>
    <t>Recorded geometry (fbset): _____
Is the geometry 1920 × 1080? _____</t>
  </si>
  <si>
    <t>Verify the
fbset</t>
  </si>
  <si>
    <r>
      <t xml:space="preserve">RGB channels shall each be </t>
    </r>
    <r>
      <rPr>
        <b/>
        <sz val="11"/>
        <color theme="1"/>
        <rFont val="Calibri"/>
        <family val="2"/>
        <scheme val="minor"/>
      </rPr>
      <t>8 bits</t>
    </r>
    <r>
      <rPr>
        <sz val="11"/>
        <color theme="1"/>
        <rFont val="Calibri"/>
        <family val="2"/>
        <scheme val="minor"/>
      </rPr>
      <t xml:space="preserve"> (RGB888).</t>
    </r>
  </si>
  <si>
    <t>Recorded rgba (fbset): _____
Are all RGB channels 8 bits each (RGB888)? _____</t>
  </si>
  <si>
    <t>Verify that the application UI is displayed correctly across the entire screen without distortion, scaling, clipping, or colour artifacts.</t>
  </si>
  <si>
    <r>
      <t xml:space="preserve">Graphics shall be displayed at </t>
    </r>
    <r>
      <rPr>
        <b/>
        <sz val="11"/>
        <color theme="1"/>
        <rFont val="Calibri"/>
        <family val="2"/>
        <scheme val="minor"/>
      </rPr>
      <t>1920 × 1080</t>
    </r>
    <r>
      <rPr>
        <sz val="11"/>
        <color theme="1"/>
        <rFont val="Calibri"/>
        <family val="2"/>
        <scheme val="minor"/>
      </rPr>
      <t xml:space="preserve"> using </t>
    </r>
    <r>
      <rPr>
        <b/>
        <sz val="11"/>
        <color theme="1"/>
        <rFont val="Calibri"/>
        <family val="2"/>
        <scheme val="minor"/>
      </rPr>
      <t>RGB888 colour representation</t>
    </r>
    <r>
      <rPr>
        <sz val="11"/>
        <color theme="1"/>
        <rFont val="Calibri"/>
        <family val="2"/>
        <scheme val="minor"/>
      </rPr>
      <t>.</t>
    </r>
  </si>
  <si>
    <t>Does the application display correctly? _____</t>
  </si>
  <si>
    <r>
      <rPr>
        <b/>
        <sz val="12"/>
        <color rgb="FF000000"/>
        <rFont val="Arial"/>
        <family val="2"/>
      </rPr>
      <t xml:space="preserve">Test ID: STS-ProvUVista-Integration-000060
Software item (under test): </t>
    </r>
    <r>
      <rPr>
        <sz val="12"/>
        <color rgb="FF000000"/>
        <rFont val="Arial"/>
        <family val="2"/>
      </rPr>
      <t>SRS-FUN-CAM-080</t>
    </r>
  </si>
  <si>
    <t xml:space="preserve"> Connect the camera (VS/VL/Bronchoscope).
Activate two camera feed Bronchoscope and VS
Place a calibration grid or ruler in front of the camera</t>
  </si>
  <si>
    <r>
      <rPr>
        <sz val="10"/>
        <color rgb="FF000000"/>
        <rFont val="Arial"/>
        <family val="2"/>
      </rPr>
      <t xml:space="preserve">Select x1 zoom and record the visible field of view or capture a screenshot.
Verify that the default scaling factor is </t>
    </r>
    <r>
      <rPr>
        <b/>
        <sz val="11"/>
        <color rgb="FF000000"/>
        <rFont val="Calibri"/>
        <family val="2"/>
        <scheme val="minor"/>
      </rPr>
      <t>x1</t>
    </r>
    <r>
      <rPr>
        <sz val="11"/>
        <color rgb="FF000000"/>
        <rFont val="Calibri"/>
        <family val="2"/>
        <scheme val="minor"/>
      </rPr>
      <t>.</t>
    </r>
  </si>
  <si>
    <r>
      <t xml:space="preserve">The live camera image shall be displayed at </t>
    </r>
    <r>
      <rPr>
        <b/>
        <sz val="11"/>
        <color theme="1"/>
        <rFont val="Calibri"/>
        <family val="2"/>
        <scheme val="minor"/>
      </rPr>
      <t>x1</t>
    </r>
    <r>
      <rPr>
        <sz val="11"/>
        <color theme="1"/>
        <rFont val="Calibri"/>
        <family val="2"/>
        <scheme val="minor"/>
      </rPr>
      <t xml:space="preserve"> scaling by default.</t>
    </r>
  </si>
  <si>
    <t>Is the default scaling factor x1? _____</t>
  </si>
  <si>
    <t>Select x1.5 zoom and measure the same object or field of view.</t>
  </si>
  <si>
    <r>
      <rPr>
        <sz val="10"/>
        <color rgb="FF000000"/>
        <rFont val="Arial"/>
        <family val="2"/>
      </rPr>
      <t xml:space="preserve">The live image shall be displayed at </t>
    </r>
    <r>
      <rPr>
        <b/>
        <sz val="11"/>
        <color rgb="FF000000"/>
        <rFont val="Calibri"/>
        <family val="2"/>
        <scheme val="minor"/>
      </rPr>
      <t>1.5×</t>
    </r>
    <r>
      <rPr>
        <sz val="11"/>
        <color rgb="FF000000"/>
        <rFont val="Calibri"/>
        <family val="2"/>
        <scheme val="minor"/>
      </rPr>
      <t xml:space="preserve"> zoom.
The object's displayed size shall increase by approximately 1.5×, 
And the visible field of view shall decrease accordingly.</t>
    </r>
  </si>
  <si>
    <t>Is the image displayed at x1.5? _____</t>
  </si>
  <si>
    <t>Verify that the zoom is centered on the image using a test target placed at the center of the camera field of view.</t>
  </si>
  <si>
    <t>The image shall be magnified about the image center without shifting the center position.</t>
  </si>
  <si>
    <t>Is the zoom centered? _____</t>
  </si>
  <si>
    <t>Verify that the image aspect ratio is preserved at x1.5 zoom using a calibration grid
Note: calculate the width/hight for checking the spect ratio. it should be same for x1 and x1.5 and x2.</t>
  </si>
  <si>
    <t>The image shall not appear stretched, compressed, or geometrically distorted.</t>
  </si>
  <si>
    <t>Is the aspect ratio preserved? _____</t>
  </si>
  <si>
    <r>
      <rPr>
        <sz val="10"/>
        <color rgb="FF000000"/>
        <rFont val="Arial"/>
        <family val="2"/>
      </rPr>
      <t xml:space="preserve">Select the </t>
    </r>
    <r>
      <rPr>
        <b/>
        <sz val="11"/>
        <color rgb="FF000000"/>
        <rFont val="Calibri"/>
        <family val="2"/>
        <scheme val="minor"/>
      </rPr>
      <t>x2</t>
    </r>
    <r>
      <rPr>
        <sz val="11"/>
        <color rgb="FF000000"/>
        <rFont val="Calibri"/>
        <family val="2"/>
        <scheme val="minor"/>
      </rPr>
      <t xml:space="preserve"> zoom option.
Select x2 zoom and measure the same object or field of view.</t>
    </r>
  </si>
  <si>
    <r>
      <rPr>
        <sz val="10"/>
        <color rgb="FF000000"/>
        <rFont val="Arial"/>
        <family val="2"/>
      </rPr>
      <t xml:space="preserve">The live image shall be displayed at </t>
    </r>
    <r>
      <rPr>
        <b/>
        <sz val="11"/>
        <color rgb="FF000000"/>
        <rFont val="Calibri"/>
        <family val="2"/>
        <scheme val="minor"/>
      </rPr>
      <t>2×</t>
    </r>
    <r>
      <rPr>
        <sz val="11"/>
        <color rgb="FF000000"/>
        <rFont val="Calibri"/>
        <family val="2"/>
        <scheme val="minor"/>
      </rPr>
      <t xml:space="preserve"> zoom.
The object's displayed size shall increase by approximately 2×, or the visible field of view shall decrease accordingly.</t>
    </r>
  </si>
  <si>
    <t>Is the image displayed at x2? _____</t>
  </si>
  <si>
    <r>
      <t xml:space="preserve">Verify that the zoom remains centered and the aspect ratio is preserved at </t>
    </r>
    <r>
      <rPr>
        <b/>
        <sz val="11"/>
        <color theme="1"/>
        <rFont val="Calibri"/>
        <family val="2"/>
        <scheme val="minor"/>
      </rPr>
      <t>x2</t>
    </r>
    <r>
      <rPr>
        <sz val="11"/>
        <color theme="1"/>
        <rFont val="Calibri"/>
        <family val="2"/>
        <scheme val="minor"/>
      </rPr>
      <t xml:space="preserve"> zoom.</t>
    </r>
  </si>
  <si>
    <t>The image shall remain centered with no geometric distortion.</t>
  </si>
  <si>
    <t>Is the image centered and undistorted? _____</t>
  </si>
  <si>
    <r>
      <rPr>
        <sz val="10"/>
        <color rgb="FF000000"/>
        <rFont val="Arial"/>
        <family val="2"/>
      </rPr>
      <t xml:space="preserve">Repeat Steps for the </t>
    </r>
    <r>
      <rPr>
        <b/>
        <sz val="11"/>
        <color rgb="FF000000"/>
        <rFont val="Calibri"/>
        <family val="2"/>
        <scheme val="minor"/>
      </rPr>
      <t>VS Camera.</t>
    </r>
  </si>
  <si>
    <t>All supported camera sources shall provide x1.5 and x2 scaling with preserved aspect ratio.</t>
  </si>
  <si>
    <t>Does Vs camera types pass? _____</t>
  </si>
  <si>
    <r>
      <t>Test ID: STS-ProvUVista-Integration-000070
Software item (under test):</t>
    </r>
    <r>
      <rPr>
        <i/>
        <sz val="11"/>
        <color rgb="FF000000"/>
        <rFont val="Calibri"/>
        <family val="2"/>
        <scheme val="minor"/>
      </rPr>
      <t xml:space="preserve"> SRS-FUN-SFT-200 </t>
    </r>
  </si>
  <si>
    <t>Power ON the device and wait until the application is fully launched. Connect the Bronchoscope camera to Port A, the VS camera to Port B, and the VL camera to Port C.</t>
  </si>
  <si>
    <t>Device should boot successfully and detect all three connected cameras.</t>
  </si>
  <si>
    <t>Does the device boot successfully? _____
Are Bronchoscope, VS, and VL cameras detected? _____</t>
  </si>
  <si>
    <t>Navigate to the live camera display screen and verify that two camera feed images are displayed as PORTA and PORT B.</t>
  </si>
  <si>
    <t>Software shall display two camera images on the screen.</t>
  </si>
  <si>
    <t>Are a two camera images displayed on the screen for Bronchoscope and VS? _____</t>
  </si>
  <si>
    <t>Place an orientation test card with clear TOP, BOTTOM, LEFT, and RIGHT markings in front of each camera. Observe the displayed images in normal device position.</t>
  </si>
  <si>
    <t>Each camera image shall be displayed in fixed landscape orientation and in the same perspective as the user.</t>
  </si>
  <si>
    <t>Are all three images displayed in landscape orientation? _____
Are all images shown in the same user perspective? _____</t>
  </si>
  <si>
    <t>Verify that none of the displayed camera images are reversed or shown as a mirror image by comparing the LEFT/RIGHT markings on the test card.
Deactivate the VS camera and Activate the Vl camera and test.</t>
  </si>
  <si>
    <t>Software shall not display any camera image as reversed or mirror-image.</t>
  </si>
  <si>
    <t>Is Bronchoscope image not mirrored? _____
Is VS image not mirrored? _____
Is VL image not mirrored? _____</t>
  </si>
  <si>
    <t xml:space="preserve">Physically rotate the device 90° clockwise while keeping the cameras and orientation test cards fixed. Observe all displayed camera images.
Perform the test for both VS and Vl camera by deactivating and activating other.
Note: See the attached snap "device_rotation_test_orientations" for example rotation of the device. </t>
  </si>
  <si>
    <t>All camera images shall remain fixed in landscape orientation and shall not rotate when the device is rotated.</t>
  </si>
  <si>
    <t>After 90° clockwise rotation, do all images remain fixed in landscape orientation? _____
Did any image rotate? _____</t>
  </si>
  <si>
    <t>Physically rotate the device 90° counter-clockwise while keeping the cameras and orientation test cards fixed. Observe all displayed camera images.</t>
  </si>
  <si>
    <t>After 90° counter-clockwise rotation, do all images remain fixed in landscape orientation? _____
Did any image rotate? _____</t>
  </si>
  <si>
    <t>Physically rotate the device 180° while keeping the cameras and orientation test cards fixed. Observe all displayed camera images.</t>
  </si>
  <si>
    <t>After 180° rotation, do all images remain fixed in landscape orientation? _____
Did any image rotate? _____</t>
  </si>
  <si>
    <t>Return the device to normal position and record the final result for SRS-FUN-SFT-200 image orientation safety.</t>
  </si>
  <si>
    <t>Test shall pass only if all three camera images remain fixed in landscape orientation and are displayed in the same user perspective without reversal or mirror-image behavior for all tested device orientations.</t>
  </si>
  <si>
    <t>Final result for SRS-FUN-SFT-200 Image orientation – Safety: Pass / Fail _____
Comments / evidence reference: _____</t>
  </si>
  <si>
    <r>
      <t>Test ID: STS-ProvUVista-Integration-000080
Software item (under test):</t>
    </r>
    <r>
      <rPr>
        <i/>
        <sz val="11"/>
        <color rgb="FF000000"/>
        <rFont val="Calibri"/>
        <family val="2"/>
        <scheme val="minor"/>
      </rPr>
      <t xml:space="preserve"> SRS-FUN-GUI-210</t>
    </r>
  </si>
  <si>
    <r>
      <t xml:space="preserve">Navigate to </t>
    </r>
    <r>
      <rPr>
        <b/>
        <sz val="11"/>
        <color theme="1"/>
        <rFont val="Calibri"/>
        <family val="2"/>
        <scheme val="minor"/>
      </rPr>
      <t>Settings → Display → LCD Brightness</t>
    </r>
    <r>
      <rPr>
        <sz val="11"/>
        <color theme="1"/>
        <rFont val="Calibri"/>
        <family val="2"/>
        <scheme val="minor"/>
      </rPr>
      <t>.</t>
    </r>
  </si>
  <si>
    <r>
      <t xml:space="preserve">Verify that the brightness control allows adjustment from </t>
    </r>
    <r>
      <rPr>
        <b/>
        <sz val="11"/>
        <color theme="1"/>
        <rFont val="Calibri"/>
        <family val="2"/>
        <scheme val="minor"/>
      </rPr>
      <t>0 to 100</t>
    </r>
    <r>
      <rPr>
        <sz val="11"/>
        <color theme="1"/>
        <rFont val="Calibri"/>
        <family val="2"/>
        <scheme val="minor"/>
      </rPr>
      <t xml:space="preserve"> and that the default value is </t>
    </r>
    <r>
      <rPr>
        <b/>
        <sz val="11"/>
        <color theme="1"/>
        <rFont val="Calibri"/>
        <family val="2"/>
        <scheme val="minor"/>
      </rPr>
      <t>50</t>
    </r>
    <r>
      <rPr>
        <sz val="11"/>
        <color theme="1"/>
        <rFont val="Calibri"/>
        <family val="2"/>
        <scheme val="minor"/>
      </rPr>
      <t>.</t>
    </r>
  </si>
  <si>
    <r>
      <t xml:space="preserve">Brightness control shall support values from </t>
    </r>
    <r>
      <rPr>
        <b/>
        <sz val="11"/>
        <color theme="1"/>
        <rFont val="Calibri"/>
        <family val="2"/>
        <scheme val="minor"/>
      </rPr>
      <t>0 to 100</t>
    </r>
    <r>
      <rPr>
        <sz val="11"/>
        <color theme="1"/>
        <rFont val="Calibri"/>
        <family val="2"/>
        <scheme val="minor"/>
      </rPr>
      <t xml:space="preserve">. Default value shall be </t>
    </r>
    <r>
      <rPr>
        <b/>
        <sz val="11"/>
        <color theme="1"/>
        <rFont val="Calibri"/>
        <family val="2"/>
        <scheme val="minor"/>
      </rPr>
      <t>50</t>
    </r>
    <r>
      <rPr>
        <sz val="11"/>
        <color theme="1"/>
        <rFont val="Calibri"/>
        <family val="2"/>
        <scheme val="minor"/>
      </rPr>
      <t xml:space="preserve"> (50% of maximum brightness).</t>
    </r>
  </si>
  <si>
    <t>Is the range 0–100 and default value 50? _____</t>
  </si>
  <si>
    <t>Keep the LCD brightness at default 50% and Execute:
v4l2-ctl -d /dev/video0 -C lcd_brightness</t>
  </si>
  <si>
    <t>The reported value shall be approximately 128 (50% of the maximum value of 255).</t>
  </si>
  <si>
    <t xml:space="preserve">LCD Brightness Value: _____
Does LCD brightness approximately 128 (50% of the maximum value of 255)?____
</t>
  </si>
  <si>
    <t>Set the UI brightness to 100. Execute:
v4l2-ctl -d /dev/video0 -C lcd_brightness</t>
  </si>
  <si>
    <t>The LCD brightness shall be applied within 1 second. The reported value shall be 255 (or the maximum supported value).</t>
  </si>
  <si>
    <t>Does the LCD brightness Value 255?__
Does the brightness updated within 1 second? _____</t>
  </si>
  <si>
    <t>Set the UI brightness to 0. Execute:
v4l2-ctl -d /dev/video0 -C lcd_brightness</t>
  </si>
  <si>
    <t>The LCD backlight shall turn OFF within 1 second. The reported value shall be 0.</t>
  </si>
  <si>
    <t>Did the LCD turn OFF within 1 second? _____
Brightness Value: ____</t>
  </si>
  <si>
    <r>
      <t>Test ID: STS-ProvUVista-Integration-000090
Software item (under test):</t>
    </r>
    <r>
      <rPr>
        <i/>
        <sz val="11"/>
        <color rgb="FF000000"/>
        <rFont val="Calibri"/>
        <family val="2"/>
        <scheme val="minor"/>
      </rPr>
      <t xml:space="preserve"> SRS-FUN-GUI-220 </t>
    </r>
  </si>
  <si>
    <t>Connect two supported cameras VL + Bronchoscope on Port B and Port A</t>
  </si>
  <si>
    <t>Verify that live video from both cameras is displayed simultaneously.</t>
  </si>
  <si>
    <t>Live video from both cameras shall be displayed correctly.</t>
  </si>
  <si>
    <t>Are both live feeds displayed? _____</t>
  </si>
  <si>
    <r>
      <t xml:space="preserve">Start </t>
    </r>
    <r>
      <rPr>
        <b/>
        <sz val="11"/>
        <color theme="1"/>
        <rFont val="Calibri"/>
        <family val="2"/>
        <scheme val="minor"/>
      </rPr>
      <t>screen recording</t>
    </r>
    <r>
      <rPr>
        <sz val="11"/>
        <color theme="1"/>
        <rFont val="Calibri"/>
        <family val="2"/>
        <scheme val="minor"/>
      </rPr>
      <t xml:space="preserve"> while both camera feeds remain active.</t>
    </r>
  </si>
  <si>
    <t>Screen recording shall start successfully without interrupting the live camera feeds.</t>
  </si>
  <si>
    <t>Did recording start successfully? _____</t>
  </si>
  <si>
    <t>Place a stopwatch (running milliseconds) or rapidly moving object in front of one camera. Observe the display while recording is active.</t>
  </si>
  <si>
    <t>The displayed image shall follow the movement continuously without displaying old or frozen frames beyond the defined latency.</t>
  </si>
  <si>
    <t>Is the displayed image continuously updated without stale frames? _____</t>
  </si>
  <si>
    <t>Repeat Step 830 for the second camera while screen recording remains enabled.</t>
  </si>
  <si>
    <t>Stop the moving object and observe the display.</t>
  </si>
  <si>
    <t>The live display shall immediately reflect the current scene and shall not display previously captured frames beyond the specified latency.</t>
  </si>
  <si>
    <t>Are only current frames displayed? _____</t>
  </si>
  <si>
    <t>Stop screen recording and verify that both live camera feeds continue to display normally.</t>
  </si>
  <si>
    <t>Live camera feeds shall continue without interruption after recording stops.</t>
  </si>
  <si>
    <t>Do both live feeds continue normally? _____</t>
  </si>
  <si>
    <t>Verify the Steps 810 to 830 for Vs camera on Port C</t>
  </si>
  <si>
    <t>Device should perform the same function for Vs camera on Port C as per steps 810 to 830.</t>
  </si>
  <si>
    <t>Does Device perform the same function for Vs camera on Port C as per steps 820 to 840.</t>
  </si>
  <si>
    <r>
      <t>Test ID: STS-ProvUVista-Integration-000100
Software item (under test):</t>
    </r>
    <r>
      <rPr>
        <i/>
        <sz val="11"/>
        <color rgb="FF000000"/>
        <rFont val="Calibri"/>
        <family val="2"/>
        <scheme val="minor"/>
      </rPr>
      <t xml:space="preserve"> SRS-FUN-CAM-1460 </t>
    </r>
  </si>
  <si>
    <t>Verify that the live image is displayed correctly without any camera-related error.</t>
  </si>
  <si>
    <t>Live camera feed shall be displayed normally.</t>
  </si>
  <si>
    <t>Is the live feed displayed correctly? _____</t>
  </si>
  <si>
    <t>Simulate frame loss by breaking the data wire of the bronchoscope camera connection.</t>
  </si>
  <si>
    <t>Observe the Device screen with error 
And Verify the log from error log page.</t>
  </si>
  <si>
    <t>The software shall detect the frame loss and display a camera frame loss error.
Device should display the Camrea Error screen on display.
Device shall display the Error text as
 "Fault detected on  camera Port 1. 
Check camera and connections."
Device shall display the Error log ID: 00029 with below texts
"Fault with camera port#1  ( Accessories )"</t>
  </si>
  <si>
    <t>Connect back the data wire of the bronchoscope.
Observe the camera feed resumes.</t>
  </si>
  <si>
    <t>The live camera feed shall resume automatically, and the frame loss error shall be cleared.</t>
  </si>
  <si>
    <t>Did the live feed resume and the error clear automatically? _____</t>
  </si>
  <si>
    <t>Simulate frame loss by breaking the data wire of the VL camera connected on Port B.</t>
  </si>
  <si>
    <t xml:space="preserve">The software shall detect the frame loss and display a camera frame loss error.
Device should display the Camrea Error screen on display.
Device shall display the Error text as
 "Fault detected on  camera Port 2. 
Check camera and connections."
Device shall display the Error log ID: 00030 with below texts
"Fault with camera port#2  ( Accessories )"
</t>
  </si>
  <si>
    <t>Is Camera Error screen displayed? _____
Displayed error text:
"Fault detected on camera Port 2. Check camera and connections." _____
Error log ID recorded: _____
Is Error ID 00030 logged? _____
Error log text:
"Fault with camera port#2 (Accessories)" _____</t>
  </si>
  <si>
    <t>Connect back the data wire of the VL camera.
Observe the camera feed resumes.</t>
  </si>
  <si>
    <t>Connect the VS camera on Port C and activate the feed and Simulate frame loss by breaking the data wire of the Vs camera connected on Port C.</t>
  </si>
  <si>
    <t xml:space="preserve">The software shall detect the frame loss and display a camera frame loss error.
Device should display the Camrea Error screen on display.
Device shall display the Error text as
 "Fault detected on  camera Port 3. 
Check camera and connections."
Device shall display the Error log ID: 00031 with below texts
"Fault with camera port#3  ( Accessories )"
</t>
  </si>
  <si>
    <t>Is Camera Error screen displayed? _____
Displayed error text:
"Fault detected on camera Port 3. Check camera and connections." _____
Error log ID recorded: _____
Is Error ID 00031 logged? _____
Error log text:
"Fault with camera port#3 (Accessories)" _____</t>
  </si>
  <si>
    <t>Connect back the data wire of the VS camera.
Observe the camera feed resumes.</t>
  </si>
  <si>
    <r>
      <t>Test ID: STS-ProvUVista-Integration-000110
Software item (under test):</t>
    </r>
    <r>
      <rPr>
        <i/>
        <sz val="11"/>
        <color rgb="FF000000"/>
        <rFont val="Calibri"/>
        <family val="2"/>
        <scheme val="minor"/>
      </rPr>
      <t xml:space="preserve"> SRS-FUN-CAM-1820 , SRS-FUN-CAM-1840 , SRS-FUN-GUI-270 </t>
    </r>
  </si>
  <si>
    <t>Power ON the device and launch the application. Ensure no cameras are connected. Execute:
cat /sys/devices/virtual/gpio-detection/oha428-camera/status
cat /sys/devices/virtual/gpio-detection/usb-camera1/status
cat /sys/devices/virtual/gpio-detection/usb-camera0/status
Ensure the device audio/notification sound is ENABLED in settings and the volume is audible. No connect/remove tone is expected while no camera activity occurs.</t>
  </si>
  <si>
    <t>All GPIO status values shall be 1 (Disconnected). All camera selection buttons shall be disabled and no live image shall be displayed.
Device audio shall be enabled. No camera attach/remove notification tone shall be produced while no camera is connected or removed.</t>
  </si>
  <si>
    <t>Are all GPIO status values 1 (Disconnected)? _____
Recorded status:
oha428-camera: _____
usb-camera1: _____
usb-camera0: _____
Are all camera selection buttons disabled? _____
Is no live image displayed? _____
Is device audio enabled? _____
Was no attach/remove tone produced while idle? _____</t>
  </si>
  <si>
    <t xml:space="preserve">Connect the Bronchoscope to Port A. check the device port status and  Within 2 seconds execute:
cat /sys/devices/virtual/gpio-detection/oha428-camera/status
v4l2-ctl --list-device
Verify audio feedback while connecting bronchoscope camera.
With audio ENABLED, listen for the audible notification tone at the moment the Bronchoscope is attached.
Note : Verify the device audio with playing the attached file in folder "Audio Camera connect" </t>
  </si>
  <si>
    <t>GPIO status shall change from 1 → 0. The Bronchoscope shall be detected as a V4L2 device, the Port A camera selection button shall become active, and the live image shall be displayed within 2 seconds.
Device shall sound the camera connection with audio feedback.
When audio is enabled, the software shall generate an audible notification tone as the Bronchoscope is attached.
Device shall active of PORTA on screen within 2 seconds.</t>
  </si>
  <si>
    <t>Did GPIO status change from 1 → 0? _____
Recorded oha428-camera status: _____
Is the Bronchoscope detected as a V4L2 device? _____
Detected device node: _____
Did the Port A selection button become active? _____
Was the live image displayed within 2 seconds? _____
Was audio feedback heard on connection? _____
Was an audible notification tone heard on Bronchoscope attach? _____
Does device activate the PORTA on screen with in 2 seconds.</t>
  </si>
  <si>
    <t xml:space="preserve">Disconnect the Bronchoscope from Port A. Within 2 seconds execute:
cat /sys/devices/virtual/gpio-detection/oha428-camera/status
With audio ENABLED, listen for the audible notification tone at the moment the Bronchoscope is removed.
Verify the PORT A status on Screen.
Note : Verify the device audio with playing the attached file in folder "Audio Camera connect" </t>
  </si>
  <si>
    <t>GPIO status shall change from 0 → 1. The Port A camera selection button shall be disabled and the display frame shall be cleared within 2 seconds.
When audio is enabled, the software shall generate an audible notification tone as the Bronchoscope is removed.
Device shall de-active of PORTA on screen with in 2 seconds.</t>
  </si>
  <si>
    <t>Did GPIO status change from 0 → 1? _____
Recorded oha428-camera status: _____
Was the Port A selection button disabled? _____
Was the display frame cleared within 2 seconds? _____
Was an audible notification tone heard on Bronchoscope removal? _____
Does device de-activate the PORTA on screen with in 2 seconds.</t>
  </si>
  <si>
    <t xml:space="preserve">Connect the VS Camera to Port B. Within 2 seconds execute:
cat /sys/devices/virtual/gpio-detection/usb-camera1/status
v4l2-ctl --list-device
With audio ENABLED, listen for the audible notification tone at the moment the VS camera is attached.
Verify the PORT B status on Screen.
Note : Verify the device audio with playing the attached file in folder "Audio Camera connect" </t>
  </si>
  <si>
    <t>GPIO status shall change from 1 → 0. The VS camera shall be detected as a V4L2 device, the Port B camera selection button shall become active, and the live image shall be displayed within 2 seconds.
When audio is enabled, the software shall generate an audible notification tone as the VS camera is attached.
Device shall active of PORTB on screen with in 2 seconds.</t>
  </si>
  <si>
    <t>Did GPIO status change from 1 → 0? _____
Recorded usb-camera1 status: _____
Is the VS camera detected as a V4L2 device? _____
Detected device node: _____
Did the Port B selection button become active? _____
Was the live image displayed within 2 seconds? _____
Was an audible notification tone heard on VS camera attach? _____
Does device activate the PORTB on screen with in 2 seconds.</t>
  </si>
  <si>
    <t xml:space="preserve">Disconnect the VS Camera from Port B. Within 2 seconds execute:
cat /sys/devices/virtual/gpio-detection/usb-camera1/status
With audio ENABLED, listen for the audible notification tone at the moment the VS camera is removed.
Verify the PORT B status on Screen.
Note : Verify the device audio with playing the attached file in folder "Audio Camera connect" </t>
  </si>
  <si>
    <t>GPIO status shall change from 0 → 1. The Port B camera selection button shall be disabled and the display frame shall be cleared within 2 seconds.
When audio is enabled, the software shall generate an audible notification tone as the VS camera is removed.
Device shall de-active of PORTB on screen with in 2 seconds.</t>
  </si>
  <si>
    <t>Did GPIO status change from 0 → 1? _____
Recorded usb-camera1 status: _____
Was the Port B selection button disabled? _____
Was the display frame cleared within 2 seconds? _____
Was an audible notification tone heard on VS camera removal? _____
Does device de-activate the PORTB on screen with in 2 seconds.</t>
  </si>
  <si>
    <t xml:space="preserve">Connect the VL Camera to Port C. Within 2 seconds execute:
cat /sys/devices/virtual/gpio-detection/usb-camera0/status
v4l2-ctl --list-device
With audio ENABLED, listen for the audible notification tone at the moment the VL camera is attached.
Verify the PORT C status on Screen.
Note : Verify the device audio with playing the attached file in folder "Audio Camera connect" </t>
  </si>
  <si>
    <t>GPIO status shall change from 1 → 0. The VL camera shall be detected as a V4L2 device, the Port C camera selection button shall become active, and the live image shall be displayed within 2 seconds.
When audio is enabled, the software shall generate an audible notification tone as the VL camera is attached.
Device shall active of PORTC on screen with in 2 seconds.</t>
  </si>
  <si>
    <t>Did GPIO status change from 1 → 0? _____
Recorded usb-camera0 status: _____
Is the VL camera detected as a V4L2 device? _____
Detected device node: _____
Did the Port C selection button become active? _____
Was the live image displayed within 2 seconds? _____
Was an audible notification tone heard on VL camera attach? _____
Does device activate the PORTC on screen with in 2 seconds.</t>
  </si>
  <si>
    <t xml:space="preserve">Disconnect the VL Camera from Port C. Within 2 seconds execute:
cat /sys/devices/virtual/gpio-detection/usb-camera0/status
With audio ENABLED, listen for the audible notification tone at the moment the VL camera is removed.
Verify the PORT B status on Screen.
Note : Verify the device audio with playing the attached file in folder "Audio Camera connect" </t>
  </si>
  <si>
    <t>GPIO status shall change from 0 → 1. The Port C camera selection button shall be disabled and the display frame shall be cleared within 2 seconds.
When audio is enabled, the software shall generate an audible notification tone as the VL camera is removed.
Device shall de-active of PORTC on screen with in 2 seconds.</t>
  </si>
  <si>
    <t>Did GPIO status change from 0 → 1? _____
Recorded usb-camera0 status: _____
Was the Port C selection button disabled? _____
Was the display frame cleared within 2 seconds? _____
Was an audible notification tone heard on VL camera removal? _____
Does device de-activate the PORTC on screen with in 2 seconds.</t>
  </si>
  <si>
    <t xml:space="preserve">Connect the Bronchoscope (Port A), VS Camera (Port B) and VL Camera (Port C) simultaneously. Execute:
cat /sys/devices/virtual/gpio-detection/oha428-camera/status
cat /sys/devices/virtual/gpio-detection/usb-camera1/status
cat /sys/devices/virtual/gpio-detection/usb-camera0/status
v4l2-ctl --list-device
With audio ENABLED, listen for an audible notification tone as each camera (Bronchoscope, VS, VL) is attached.
Note : Verify the device audio with playing the attached file in folder "Audio Camera connect" </t>
  </si>
  <si>
    <t>All GPIO status values shall be 0 (Connected). All three cameras shall be detected, all corresponding camera selection buttons shall become active within 2 seconds, and each live camera feed shall be available for selection.
When audio is enabled, the software shall generate an audible notification tone for each camera attach event (Bronchoscope, VS, VL).</t>
  </si>
  <si>
    <t>Are all GPIO status values 0 (Connected)? _____
Recorded status:
oha428-camera: _____
usb-camera1: _____
usb-camera0: _____
Are all three cameras detected? _____
Did all three selection buttons become active within 2 seconds? _____
Is each live camera feed available for selection? _____
Was an audible notification tone heard for each camera attach?
Bronchoscope: _____
VS: _____
VL: _____</t>
  </si>
  <si>
    <t xml:space="preserve">Negative Test: Disconnect each camera individually while the remaining cameras stay connected. After each disconnection execute the corresponding GPIO status command.
With audio ENABLED, listen for an audible notification tone at each individual camera removal.
Note : Verify the device audio with playing the attached file in folder "Audio Camera connect" 
</t>
  </si>
  <si>
    <t>Only the disconnected camera GPIO shall change from 0 → 1. Only its camera selection button shall be disabled and its display cleared. The remaining connected cameras shall continue streaming normally.
When audio is enabled, the software shall generate an audible notification tone for each individual camera removal event.</t>
  </si>
  <si>
    <t>For each disconnection, did only the disconnected camera GPIO change from 0 → 1? _____
Was only its selection button disabled and its display cleared? _____
Did the remaining connected cameras continue streaming normally? _____
Was an audible notification tone heard on each individual camera removal? _____</t>
  </si>
  <si>
    <t>Negative Test: Connect an unsupported USB camera to Port B, then repeat on Port C. Execute:
cat /sys/devices/virtual/gpio-detection/usb-camera1/status
(or usb-camera0/status) 
v4l2-ctl --list-device
With audio ENABLED, observe whether any notification tone is produced when the unsupported USB camera is attached and removed.</t>
  </si>
  <si>
    <t>The GPIO shall indicate Connected (0) because hardware is attached. If the camera is unsupported, the software shall not activate the camera selection button or display a live image.
When audio is enabled, an audible notification tone may be generated on hardware attach/removal; however, no camera feed shall be activated for the unsupported camera.</t>
  </si>
  <si>
    <t>Did the GPIO indicate Connected (0) with the unsupported camera attached? _____
Recorded status (Port B / usb-camera1): _____
Recorded status (Port C / usb-camera0): _____
Did the software correctly NOT activate the camera selection button? _____
Was no live image displayed? _____
Was a tone produced for the unsupported camera attach/removal? _____
Was the camera feed correctly NOT activated? _____</t>
  </si>
  <si>
    <t>Negative Test: Rapidly disconnect and reconnect each supported camera (Bronchoscope, VS, and VL) at least five times.
v4l2-ctl --list-device
Now DISABLE the device audio/notification sound in settings. Repeat rapidly disconnecting and reconnecting each supported camera (Bronchoscope, VS, VL) at least five times and listen for any tone.</t>
  </si>
  <si>
    <t>The GPIO status shall correctly toggle between 1 and 0 for every connect/disconnect event. The software shall update the camera selection button and display within 2 seconds without crashes, stale images, or incorrect camera status.
When audio is DISABLED, the software shall NOT generate any audible notification tone for any camera attach or removal event.</t>
  </si>
  <si>
    <t>Did the GPIO status correctly toggle between 1 and 0 for every connect/disconnect event? _____
Did the software update the selection button and display within 2 seconds each time? _____
Were there any crashes, stale images, or incorrect camera status? _____
With audio DISABLED, was any notification tone produced? _____
(Expected: no tone)</t>
  </si>
  <si>
    <t xml:space="preserve">Negative Test: Rapidly disconnect and reconnect each supported camera (Bronchoscope, VS, and VL) several times.
Re-ENABLE the device audio/notification sound and rapidly disconnect and reconnect each supported camera several times, listening for a tone on every attach and removal event.
Note : Verify the device audio with playing the attached file in folder "Audio Camera connect" </t>
  </si>
  <si>
    <t>The software shall consistently detect each connection and disconnection within 2 seconds, without crashing, hanging, or leaving an incorrect camera status or stale image on the display.
When audio is re-enabled, the software shall consistently generate an audible notification tone on every camera attach and removal event, without missed or spurious tones.</t>
  </si>
  <si>
    <t>Did the software consistently detect each connection and disconnection within 2 seconds? _____
Were there any crashes, hangs, incorrect camera status, or stale images on the display? _____
With audio re-enabled, was a tone heard on every attach and removal event? _____
Any missed or spurious tones observed? _____</t>
  </si>
  <si>
    <r>
      <t>Test ID: STS-ProvUVista-Integration-000120
Software item (under test):</t>
    </r>
    <r>
      <rPr>
        <i/>
        <sz val="11"/>
        <color rgb="FF000000"/>
        <rFont val="Calibri"/>
        <family val="2"/>
        <scheme val="minor"/>
      </rPr>
      <t xml:space="preserve"> </t>
    </r>
    <r>
      <rPr>
        <sz val="11"/>
        <color rgb="FF000000"/>
        <rFont val="Calibri"/>
        <family val="2"/>
        <scheme val="minor"/>
      </rPr>
      <t xml:space="preserve">SRS-FUN-CAM-2170 </t>
    </r>
  </si>
  <si>
    <t>Ensure no bronchoscope is connected before starting the camera-type compatibility test.</t>
  </si>
  <si>
    <t>Is the device powered ON and application launched? _____
Is no bronchoscope connected before starting? _____</t>
  </si>
  <si>
    <t>Connect a bronchoscope with an OV6946 camera. Execute:
cat /sys/devices/virtual/gpio-detection/oha428-camera/status
cat /sys/bus/iio/devices/iio:device1/in_voltage0_raw
v4l2-ctl -d /dev/video0 --list-formats-ext
Verify detection, ADC ID, V4L2 enumeration, supported format, and live feed.</t>
  </si>
  <si>
    <t>The Bronchoscope shall be detected and the feed shall be displayed on the device. The ADC value shall correspond to a supported bronchoscope ID. The camera shall be enumerated as a V4L2 device, and the live image shall be displayed without warning or error. Device shall display the supported format as 400x400.</t>
  </si>
  <si>
    <t>GPIO status recorded: _____
ADC count recorded: _____
Does ADC correspond to supported bronchoscope ID? _____
Is OV6946 enumerated as a V4L2 device? _____
Detected device node: _____
Is supported format 400x400 displayed? _____
Is live image displayed without warning/error? _____</t>
  </si>
  <si>
    <t>Disconnect the OV6946 bronchoscope and connect a bronchoscope with an OCHTA10-KL1x camera. Execute:
cat /sys/devices/virtual/gpio-detection/oha428-camera/status
cat /sys/bus/iio/devices/iio:device1/in_voltage0_raw
v4l2-ctl -d /dev/video0 --list-formats-ext
Verify detection, ADC ID, V4L2 enumeration, supported format, and live feed.</t>
  </si>
  <si>
    <t>GPIO status recorded: _____
ADC count recorded: _____
Does ADC correspond to supported bronchoscope ID? _____
Is OCHTA10-KL1x enumerated as a V4L2 device? _____
Detected device node: _____
Is supported format 400x400 displayed? _____
Is live image displayed without warning/error? _____</t>
  </si>
  <si>
    <t>Verify camera functionality for both camera types by selecting the bronchoscope view and observing the live image for each camera type without restarting or changing software configuration.</t>
  </si>
  <si>
    <t>The software shall acquire and display the live image correctly for both OV6946 and OCHTA10-KL1x cameras without requiring software restart or configuration changes.</t>
  </si>
  <si>
    <t>Does OV6946 live image display correctly? _____
Does OCHTA10-KL1x live image display correctly? _____
Was software restart required? _____
Was configuration change required? _____</t>
  </si>
  <si>
    <r>
      <t>Test ID: STS-ProvUVista-Integration-000130
Software item (under test):</t>
    </r>
    <r>
      <rPr>
        <i/>
        <sz val="11"/>
        <color rgb="FF000000"/>
        <rFont val="Calibri"/>
        <family val="2"/>
        <scheme val="minor"/>
      </rPr>
      <t xml:space="preserve"> SRS-FUN-PWR-1890  , SRS-FUN-CAM-2080 </t>
    </r>
  </si>
  <si>
    <t>Keep the device powered OFF. Connect the logic analyzer to the I2C interface between the RK3568 and FPGA. Start the logic analyzer capture, then connect the Bronchoscope to the device.</t>
  </si>
  <si>
    <t>The logic analyzer shall start capturing without error and shall be ready to capture RK3568-to-FPGA I2C communication before device power ON.</t>
  </si>
  <si>
    <t>Is the device powered OFF before setup? _____
Is the logic analyzer connected to the RK3568-to-FPGA I2C interface? _____
Did the logic analyzer start capture without error? _____
Is the Bronchoscope connected to the device? _____</t>
  </si>
  <si>
    <t>Power ON the device while the logic analyzer is actively capturing the I2C communication.</t>
  </si>
  <si>
    <t>Setup. The device shall begin booting while the logic analyzer continues to capture the I2C communication.</t>
  </si>
  <si>
    <t>Was the device powered ON successfully? _____
Did the logic analyzer continue capturing during power ON? _____</t>
  </si>
  <si>
    <t xml:space="preserve">Verify that the device sends the required RK3568-to-FPGA configuration commands within 20 ms after power ON. Review the logic analyzer trace for register addresses and configured values.
</t>
  </si>
  <si>
    <t xml:space="preserve">The device shall send the FPGA configuration commands within 20 ms. The logic analyzer shall record the register list and configured values sent from RK3568 to FPGA.
The device shall be able to configure the OV428 ISP chip. </t>
  </si>
  <si>
    <t xml:space="preserve">Were FPGA configuration commands observed on the logic analyzer? _____
Measured time to first/complete configuration command: _____ ms
Is the configuration completed within 20 ms? _____
Register addresses recorded: _____
Configured values recorded: _____
</t>
  </si>
  <si>
    <t>Verify that the device starts the application and removes the Bronchoscope emergency-mode feed during boot.</t>
  </si>
  <si>
    <t>The device shall show the boot progress bar and remove the Bronchoscope emergency feed as the application starts.</t>
  </si>
  <si>
    <t>Is the boot progress bar displayed? _____
Is the Bronchoscope emergency-mode feed removed during boot? _____
Did the application start without error? _____</t>
  </si>
  <si>
    <t>Verify that the device completes booting and displays the home screen with the Bronchoscope camera connected.</t>
  </si>
  <si>
    <t>The device shall complete booting and display the home screen with the Bronchoscope camera connected and available.</t>
  </si>
  <si>
    <t>Did the device complete booting? _____
Is the home screen displayed? _____
Is the Bronchoscope camera connected and available? _____
Any boot or camera error observed? _____</t>
  </si>
  <si>
    <t>Connect the logic analyzer on I2c port between rk3568 and ISP chip. Read and decode the resisters value.
Verify the register 0x3503 and its value is 0x00 for OV428 ISP registers AGC (Auto Gain Control) and Auto exposure control (AEC) 
Verify the registers 0x5004 for Auto white balance is 0x90 (disabled).</t>
  </si>
  <si>
    <t>The device shall send the configuration commands to ISP chip. The logic analyzer shall record the register list and configured values sent from RK3568 to ISP
The device shall be able to configure the OV428 ISP chip. 
The device shall set OV428 ISP registers  0x3503 to 0x00 for AGC (Auto Gain Control) and Auto exposure control (AEC) to auto adjust the gain and exposure.  
The device shall disable the Auto white balance adjustment for OV428 by setting register 0x5004 to 0x90</t>
  </si>
  <si>
    <t>Were configuration commands observed on the logic analyzer? _____
Register addresses recorded: _____
Configured values recorded: _____
Were OV428 ISP configuration registers 0x3503 and 0x5004 observed? _____
Are AGC and AEC register 0x3503 set for 0x00 ? _____
Auto white balance register/value recorded 0x5004?  _____
Is Auto White Balance register 0x5004 having value 0x90 ? _____</t>
  </si>
  <si>
    <r>
      <rPr>
        <b/>
        <sz val="12"/>
        <color rgb="FF000000"/>
        <rFont val="Arial"/>
        <family val="2"/>
      </rPr>
      <t>Test ID: STS-ProvUVista-Integration-000140
Software item (under test):</t>
    </r>
    <r>
      <rPr>
        <sz val="12"/>
        <color rgb="FF000000"/>
        <rFont val="Arial"/>
        <family val="2"/>
      </rPr>
      <t xml:space="preserve">SRS-FUN-USB-1660 , SRS-FUN-USB-1670 </t>
    </r>
  </si>
  <si>
    <r>
      <rPr>
        <sz val="10"/>
        <color rgb="FF000000"/>
        <rFont val="Arial"/>
        <family val="2"/>
      </rPr>
      <t>Preconditions:</t>
    </r>
    <r>
      <rPr>
        <sz val="11"/>
        <color rgb="FF000000"/>
        <rFont val="Calibri"/>
        <family val="2"/>
        <scheme val="minor"/>
      </rPr>
      <t xml:space="preserve"> Device is powered ON and application is running. No USB cameras are connected. Export the Power-Good GPIOs using:
echo 146 &gt; /sys/class/gpio/export
echo 148 &gt; /sys/class/gpio/export
Verify the initial Power-Good status using:
cat /sys/class/gpio/gpio146/value
cat /sys/class/gpio/gpio148/value</t>
    </r>
  </si>
  <si>
    <t>The device shall be powered ON and the application shall be running. No USB cameras shall be connected.
GPIO146 and GPIO148 shall be exported successfully. Initial Power-Good status shall be LOW for both USB camera ports:
GPIO148 = 0 for USB Camera Port B.
GPIO146 = 0 for USB Camera Port C.</t>
  </si>
  <si>
    <t>Is the device powered ON and application running? _____
Are no USB cameras connected? _____
Were GPIO146 and GPIO148 exported successfully? _____
Recorded initial Power-Good values:
GPIO148 / Port B: _____
GPIO146 / Port C: _____
Are both Power-Good GPIO values 0? _____</t>
  </si>
  <si>
    <r>
      <rPr>
        <sz val="10"/>
        <color rgb="FF000000"/>
        <rFont val="Arial"/>
        <family val="2"/>
      </rPr>
      <t xml:space="preserve">Connect the </t>
    </r>
    <r>
      <rPr>
        <b/>
        <sz val="11"/>
        <color rgb="FF000000"/>
        <rFont val="Calibri"/>
        <family val="2"/>
        <scheme val="minor"/>
      </rPr>
      <t>VS camera</t>
    </r>
    <r>
      <rPr>
        <sz val="11"/>
        <color rgb="FF000000"/>
        <rFont val="Calibri"/>
        <family val="2"/>
        <scheme val="minor"/>
      </rPr>
      <t xml:space="preserve"> to </t>
    </r>
    <r>
      <rPr>
        <b/>
        <sz val="11"/>
        <color rgb="FF000000"/>
        <rFont val="Calibri"/>
        <family val="2"/>
        <scheme val="minor"/>
      </rPr>
      <t>USB Camera (Port B )</t>
    </r>
    <r>
      <rPr>
        <sz val="11"/>
        <color rgb="FF000000"/>
        <rFont val="Calibri"/>
        <family val="2"/>
        <scheme val="minor"/>
      </rPr>
      <t>. Verify the camera detection and Power-Good signal using:
cat /sys/devices/virtual/gpio-detection/usb-camera1/status
cat /sys/class/gpio/gpio148/value</t>
    </r>
  </si>
  <si>
    <t>The VS camera shall be detected as connected on USB Camera Port B.
The Port B Power-Good GPIO148 shall change from 0 to 1 within 2 seconds. The application shall enable the VS camera feed/selection and no camera fault or power warning shall be displayed.</t>
  </si>
  <si>
    <t>Is the VS camera connected to USB Camera Port B? _____
Recorded usb-camera1 status: _____
Does the status indicate connected? _____
Recorded GPIO148 / Port B value: _____
Did GPIO148 change from 0 to 1 within 2 seconds? _____
Is the VS camera feed/selection enabled? _____
Any camera fault or power warning displayed? _____</t>
  </si>
  <si>
    <r>
      <rPr>
        <sz val="10"/>
        <color rgb="FF000000"/>
        <rFont val="Arial"/>
        <family val="2"/>
      </rPr>
      <t xml:space="preserve">Disconnect the </t>
    </r>
    <r>
      <rPr>
        <b/>
        <sz val="11"/>
        <color rgb="FF000000"/>
        <rFont val="Calibri"/>
        <family val="2"/>
        <scheme val="minor"/>
      </rPr>
      <t>VS camera</t>
    </r>
    <r>
      <rPr>
        <sz val="11"/>
        <color rgb="FF000000"/>
        <rFont val="Calibri"/>
        <family val="2"/>
        <scheme val="minor"/>
      </rPr>
      <t xml:space="preserve"> from </t>
    </r>
    <r>
      <rPr>
        <b/>
        <sz val="11"/>
        <color rgb="FF000000"/>
        <rFont val="Calibri"/>
        <family val="2"/>
        <scheme val="minor"/>
      </rPr>
      <t>USB Camera PortB</t>
    </r>
    <r>
      <rPr>
        <sz val="11"/>
        <color rgb="FF000000"/>
        <rFont val="Calibri"/>
        <family val="2"/>
        <scheme val="minor"/>
      </rPr>
      <t>. Verify the camera detection and Power-Good signal using:
cat /sys/devices/virtual/gpio-detection/usb-camera1/status
cat /sys/class/gpio/gpio148/value</t>
    </r>
  </si>
  <si>
    <t>The VS camera shall be detected as disconnected from USB Camera Port B.
The Port B Power-Good GPIO148 shall return to 0 within 2 seconds. The VS camera feed shall stop and the Port B camera selection shall be disabled.</t>
  </si>
  <si>
    <t>Is the VS camera disconnected from USB Camera Port B? _____
Recorded usb-camera1 status: _____
Does the status indicate disconnected? _____
Recorded GPIO148 / Port B value: _____
Did GPIO148 return to 0 within 2 seconds? _____
Did the VS camera feed stop? _____
Is the Port B camera selection disabled? _____</t>
  </si>
  <si>
    <r>
      <rPr>
        <sz val="10"/>
        <color rgb="FF000000"/>
        <rFont val="Arial"/>
        <family val="2"/>
      </rPr>
      <t xml:space="preserve">Connect the </t>
    </r>
    <r>
      <rPr>
        <b/>
        <sz val="11"/>
        <color rgb="FF000000"/>
        <rFont val="Calibri"/>
        <family val="2"/>
        <scheme val="minor"/>
      </rPr>
      <t>VL camera</t>
    </r>
    <r>
      <rPr>
        <sz val="11"/>
        <color rgb="FF000000"/>
        <rFont val="Calibri"/>
        <family val="2"/>
        <scheme val="minor"/>
      </rPr>
      <t xml:space="preserve"> to </t>
    </r>
    <r>
      <rPr>
        <b/>
        <sz val="11"/>
        <color rgb="FF000000"/>
        <rFont val="Calibri"/>
        <family val="2"/>
        <scheme val="minor"/>
      </rPr>
      <t>USB Camera  (Port C )</t>
    </r>
    <r>
      <rPr>
        <sz val="11"/>
        <color rgb="FF000000"/>
        <rFont val="Calibri"/>
        <family val="2"/>
        <scheme val="minor"/>
      </rPr>
      <t>. Verify the camera detection and Power-Good signal using:
cat /sys/devices/virtual/gpio-detection/usb-camera0/status
cat /sys/class/gpio/gpio146/value</t>
    </r>
  </si>
  <si>
    <t>The VL camera shall be detected as connected on USB Camera Port C.
The Port C Power-Good GPIO146 shall change from 0 to 1 within 2 seconds. The application shall enable the VL camera feed/selection and no camera fault or power warning shall be displayed.</t>
  </si>
  <si>
    <t>Is the VL camera connected to USB Camera Port C? _____
Recorded usb-camera0 status: _____
Does the status indicate connected? _____
Recorded GPIO146 / Port C value: _____
Did GPIO146 change from 0 to 1 within 2 seconds? _____
Is the VL camera feed/selection enabled? _____
Any camera fault or power warning displayed? _____</t>
  </si>
  <si>
    <r>
      <rPr>
        <sz val="10"/>
        <color rgb="FF000000"/>
        <rFont val="Arial"/>
        <family val="2"/>
      </rPr>
      <t xml:space="preserve">Disconnect the </t>
    </r>
    <r>
      <rPr>
        <b/>
        <sz val="11"/>
        <color rgb="FF000000"/>
        <rFont val="Calibri"/>
        <family val="2"/>
        <scheme val="minor"/>
      </rPr>
      <t>VL camera</t>
    </r>
    <r>
      <rPr>
        <sz val="11"/>
        <color rgb="FF000000"/>
        <rFont val="Calibri"/>
        <family val="2"/>
        <scheme val="minor"/>
      </rPr>
      <t xml:space="preserve"> from </t>
    </r>
    <r>
      <rPr>
        <b/>
        <sz val="11"/>
        <color rgb="FF000000"/>
        <rFont val="Calibri"/>
        <family val="2"/>
        <scheme val="minor"/>
      </rPr>
      <t>USB Camera PortC</t>
    </r>
    <r>
      <rPr>
        <sz val="11"/>
        <color rgb="FF000000"/>
        <rFont val="Calibri"/>
        <family val="2"/>
        <scheme val="minor"/>
      </rPr>
      <t>. Verify the camera detection and Power-Good signal using:
cat /sys/devices/virtual/gpio-detection/usb-camera0/status
cat /sys/class/gpio/gpio146/value</t>
    </r>
  </si>
  <si>
    <t>The VL camera shall be detected as disconnected from USB Camera Port C.
The Port C Power-Good GPIO146 shall return to 0 within 2 seconds. The VL camera feed shall stop and the Port C camera selection shall be disabled.</t>
  </si>
  <si>
    <t>Is the VL camera disconnected from USB Camera Port C? _____
Recorded usb-camera0 status: _____
Does the status indicate disconnected? _____
Recorded GPIO146 / Port C value: _____
Did GPIO146 return to 0 within 2 seconds? _____
Did the VL camera feed stop? _____
Is the Port C camera selection disabled? _____</t>
  </si>
  <si>
    <r>
      <rPr>
        <sz val="10"/>
        <color rgb="FF000000"/>
        <rFont val="Arial"/>
        <family val="2"/>
      </rPr>
      <t>Negative Test – USB Camera PortB:</t>
    </r>
    <r>
      <rPr>
        <sz val="11"/>
        <color rgb="FF000000"/>
        <rFont val="Calibri"/>
        <family val="2"/>
        <scheme val="minor"/>
      </rPr>
      <t xml:space="preserve"> Connect the VS camera to USB Camera PortB.
Introduce a hardware fault by breaking the signal U79_V2OK_GPIO4_C2 so that the USB port remains enabled but the Power-Good signal remains LOW.
 Verify using:
cat /sys/class/gpio/gpio148/value</t>
    </r>
  </si>
  <si>
    <t>GPIO148 shall remain 0 while the VS camera is connected to USB Camera Port B.
The software shall display the camera fault screen/text:
"Fault detected on camera Port 2.
Check camera and connections."
Port 2 corresponds to USB Camera Port B. The fault shall be logged as Error ID 00035.</t>
  </si>
  <si>
    <t>Recorded GPIO148 value: _____
Is GPIO148 still LOW while the Port B camera is connected? _____
Is Camera Error screen displayed? _____
Displayed fault text:
"Fault detected on camera Port 2.
Check camera and connections." _____
Is Port 2 confirmed as USB Camera Port B? _____
Error log ID recorded: _____
Is Error ID 00035 logged? _____</t>
  </si>
  <si>
    <r>
      <rPr>
        <sz val="10"/>
        <color rgb="FF000000"/>
        <rFont val="Arial"/>
        <family val="2"/>
      </rPr>
      <t>Negative Test – USB Camera PortC:</t>
    </r>
    <r>
      <rPr>
        <sz val="11"/>
        <color rgb="FF000000"/>
        <rFont val="Calibri"/>
        <family val="2"/>
        <scheme val="minor"/>
      </rPr>
      <t xml:space="preserve"> Connect the VL camera to USB Camera PortC. Introduce a hardware fault by breaking the signal U78_V2OK_GPIO4_C2so that the USB port remains enabled but the Power-Good signal remains LOW. Verify using:
cat /sys/class/gpio/gpio146/value</t>
    </r>
  </si>
  <si>
    <t>GPIO146 shall remain 0 while the VL camera is connected to USB Camera Port C.
The software shall display the camera fault screen/text:
"Fault detected on camera Port 3.
Check camera and connections."
Port 3 corresponds to USB Camera Port C. The fault shall be logged as Error ID 00036.</t>
  </si>
  <si>
    <t>Recorded GPIO146 value: _____
Is GPIO146 still LOW while the Port C camera is connected? _____
Is Camera Error screen displayed? _____
Displayed fault text:
"Fault detected on camera Port 3.
Check camera and connections." _____
Is Port 3 confirmed as USB Camera Port C? _____
Error log ID recorded: _____
Is Error ID 00036 logged? _____</t>
  </si>
  <si>
    <r>
      <rPr>
        <b/>
        <sz val="12"/>
        <color rgb="FF000000"/>
        <rFont val="Arial"/>
        <family val="2"/>
      </rPr>
      <t xml:space="preserve">Test ID: STS-ProvUVista-Integration-000150
Software item (under test): </t>
    </r>
    <r>
      <rPr>
        <sz val="12"/>
        <color rgb="FF000000"/>
        <rFont val="Arial"/>
        <family val="2"/>
      </rPr>
      <t xml:space="preserve">SRS-FUN-CAM-1680-01 , SRS-FUN-CAM-1680-07 ,SRS-FUN-CAM-1690 ,SRS-FUN-CAM-1710 </t>
    </r>
  </si>
  <si>
    <t>Connect the bronchoscope.
Verify that the DS2482S-100 is responding.
Execute:
/usr/sbin/i2ctransfer -f -y 4 w2@0x1a 0x30 0x12 r1</t>
  </si>
  <si>
    <t>The bronchoscope shall be detected by the application.
The terminal shall return 0x01.
The response shall confirm communication with the DS2482S-100.</t>
  </si>
  <si>
    <t>Was the bronchoscope detected by the application? _____
Recorded DS2482S-100 response: _____
Did the terminal return 0x01? _____
Is communication with the DS2482S-100 confirmed? _____</t>
  </si>
  <si>
    <t>Verify that the EEPROM device is present.
Execute:
ls /sys/devices/w1_bus_master1/</t>
  </si>
  <si>
    <t>The 1-Wire EEPROM device shall be detected and its device ID shall be displayed in the expected format, for example "2d-000041e171f6".</t>
  </si>
  <si>
    <t>Was the 1-Wire EEPROM device detected? _____
Recorded EEPROM device ID: _____
Is the device ID in the expected format? _____</t>
  </si>
  <si>
    <t>Read the EEPROM contents.
Execute:
hexdump -v -C /sys/devices/w1_bus_master1/&lt;deviceID&gt;/eeprom
Replace &lt;deviceID&gt; with the EEPROM device ID identified in Step 1270.</t>
  </si>
  <si>
    <t>The EEPROM contents shall be displayed in hexadecimal format.</t>
  </si>
  <si>
    <t>Were the EEPROM contents displayed in hexadecimal format? _____
EEPROM output / evidence reference: _____</t>
  </si>
  <si>
    <t>Verify the EEPROM data format (&lt;Header&gt;&lt;Data&gt;&lt;CRC&gt;) against the EEPROM specification.
Byte 0: EEPROM table version ID(Chip ID)
Byte 1: Header Length
Byte 5: CRC-1 (MSB)
Byte 6: CRC-2
Byte 7: CRC-3
Byte 8: CRC-4 (LSB)
Read the EEPROM data starting from byte 0.</t>
  </si>
  <si>
    <t>The EEPROM data shall match the specified format:
EEPROM table version ID = 0x01
Header Length = 0x09 (9 bytes)
CRC shall be stored in bytes 5–8, with byte 5 as the MSB and byte 8 as the LSB.</t>
  </si>
  <si>
    <t>Recorded EEPROM table version ID: _____
Recorded Header Length: _____
Recorded CRC bytes 5–8: _____
Does the EEPROM data match the specified format? _____</t>
  </si>
  <si>
    <t>Calculate and verify the 32-bit CRC.
Copy the attached script crc_eeprom.sh to the device and execute:
hexdump -v -C /sys/devices/w1_bus_master1/&lt;deviceID&gt;/eeprom &gt; eeprom_data.txt
./crc_eeprom.sh eeprom_data.txt
Example output: CRC32 : 0x9ED09981
Compare the calculated CRC with the stored CRC in bytes 5–8.</t>
  </si>
  <si>
    <t>The calculated 32-bit CRC shall match the CRC value stored in EEPROM bytes 5–8.</t>
  </si>
  <si>
    <t>Calculated CRC32: _____
Stored CRC from bytes 5–8: _____
Do the calculated and stored CRC values match? _____</t>
  </si>
  <si>
    <t>Verify detection of corrupted EEPROM data.
1. Create invalid data:
printf '\x05\x06\x07\x08' &gt; /tmp/eeprom.bin
2. Identify EEPROM device ID:
ls /sys/devices/w1_bus_master1/
3. Write invalid data:
cat /tmp/eeprom.bin &gt; /sys/devices/w1_bus_master1/&lt;deviceID&gt;/eeprom
4. Disconnect and reconnect the bronchoscope.
5. Read EEPROM:
hexdump -v -C /sys/devices/w1_bus_master1/&lt;deviceID&gt;/eeprom
6. Verify the first four bytes and the application warning/error log.</t>
  </si>
  <si>
    <t>The EEPROM shall be detected, but its contents shall fail validation.
The application shall display:
Faulty camera connected.
Check device and connections.
Error ID 00305 shall be logged for corrupted EEPROM data.
Error ID 00306 shall be logged for an invalid EEPROM data format, where applicable.</t>
  </si>
  <si>
    <t>Was the invalid EEPROM detected? _____
Recorded first four EEPROM bytes: _____
Was the warning displayed? _____
Displayed warning text: _____
Error ID recorded: _____
Is Error ID 00305 logged? _____
Is Error ID 00306 logged? _____</t>
  </si>
  <si>
    <t>Verify operation with a valid EEPROM.
Connect a bronchoscope containing a valid EEPROM.</t>
  </si>
  <si>
    <t>The EEPROM shall be accepted successfully.
The application shall not display the faulty-camera warning.
Error ID 00305 shall not be logged.</t>
  </si>
  <si>
    <t>Was the valid EEPROM accepted? _____
Was any faulty-camera warning displayed? _____
Error ID recorded: _____
Is Error ID 00305 absent? _____</t>
  </si>
  <si>
    <t>Verify the default bronchoscope OV428 configuration using an I2C sniffer.
Connect the I2C sniffer to I2C Port 5 and capture the bronchoscope configuration values during initialization.
Re-connect the Bronchoscope while rung the logic analyzer software. 
Capture the I2c register value in Actual Received Value of  "Default Configuration Broncho" sheet
Compare the captured register values column with the values listed in the Default Configuration Broncho sheet. (  Expected Read vs Actual Received Value)</t>
  </si>
  <si>
    <t>The device shall transmit the bronchoscope configuration values on I2C Port 5.
The captured register values match the expected values in the Default Configuration Bronco sheet.</t>
  </si>
  <si>
    <t>Were the configuration values captured on I2C Port 5? _____
Captured register values / evidence reference: _____
Do the values match the Default Configuration Bronco sheet? _____
Were the default OV428 settings used? _____</t>
  </si>
  <si>
    <t>Verify behavior when the bronchoscope has no EEPROM.
Connect a bronchoscope without an EEPROM device.
Execute:
ls /sys/devices/w1_bus_master1/
If an EEPROM device is reported, attempt:
hexdump -v -C /sys/devices/w1_bus_master1/&lt;deviceID&gt;/eeprom
Verify the application warning and error log.</t>
  </si>
  <si>
    <t>The EEPROM shall not be available for reading.
If the read command is executed against the unavailable EEPROM path, the terminal is expected to report:
hexdump: all input file arguments failed
The application shall display:
Faulty camera connected.
Check device and connections.
Error ID 00306 shall be logged.</t>
  </si>
  <si>
    <t>Was the EEPROM absent/not detected? _____
Recorded terminal error message: _____
Did the command report 'hexdump: all input file arguments failed'? _____
Was the faulty-camera warning displayed? _____
Displayed warning text: _____
Error ID recorded: _____
Is Error ID 00306 logged? _____</t>
  </si>
  <si>
    <t>Re-verify the OV428 default configuration after EEPROM-related tests.
Connect the I2C sniffer to I2C Port 5 and capture the bronchoscope configuration values.
Compare the captured register values with the Default Configuration Bronco sheet.</t>
  </si>
  <si>
    <t>The device shall transmit the expected bronchoscope configuration values on I2C Port 5 and shall use the default OV428 configuration.</t>
  </si>
  <si>
    <t>Were configuration values captured on I2C Port 5? _____
Captured register values / evidence reference: _____
Do the values match the Default Configuration Bronco sheet? _____
Were the default OV428 settings used? _____</t>
  </si>
  <si>
    <r>
      <rPr>
        <b/>
        <sz val="12"/>
        <color rgb="FF000000"/>
        <rFont val="Arial"/>
        <family val="2"/>
      </rPr>
      <t xml:space="preserve">Test ID: STS-ProvUVista-Integration-000160
Software item (under test): </t>
    </r>
    <r>
      <rPr>
        <sz val="12"/>
        <color rgb="FF000000"/>
        <rFont val="Arial"/>
        <family val="2"/>
      </rPr>
      <t xml:space="preserve">SRS-FUN-CAM-1700, SRS-FUN-CAM-2030 </t>
    </r>
  </si>
  <si>
    <t>1. Connect the bronchoscope that contains the configured OV428 data in its EEPROM.
2. Identify the EEPROM device ID by executing:
ls /sys/devices/w1_bus_master1/
3. Read the EEPROM contents by executing:
hexdump -v -C /sys/devices/w1_bus_master1/&lt;deviceID&gt;/eeprom
4. Save the EEPROM output as test evidence.
5. Locate the byte sequence "30 0e" and record the byte immediately following it as the configured value for OV428 register 0x300E.
Example: In the sequence "30 0e e7", the configured register value is 0xE7.
Note: The EEPROM device ID is displayed in a format such as "2d-000039bf4972".</t>
  </si>
  <si>
    <t>The EEPROM device ID shall be displayed.
The EEPROM contents shall be read successfully in hexadecimal format.
The byte sequence "30 0e" and its following data byte shall be present in the EEPROM output.
The configured value for OV428 register 0x300E shall be recorded.</t>
  </si>
  <si>
    <t>Recorded EEPROM device ID: _____
Was the EEPROM read completed successfully? _____
Was the EEPROM output displayed in hexadecimal format? _____
Was the byte sequence "30 0e" found? _____
Configured value for OV428 register 0x300E: _____
Evidence/output reference: _____</t>
  </si>
  <si>
    <t>1. From the device serial terminal, read OV428 register 0x300E on I2C bus 5 by executing:
/usr/sbin/i2ctransfer -y 5 w2@0x36 0x30 0x0e r1
2. Verify that the command completes successfully and returns one byte in hexadecimal format.
3. Record the returned register value.
4. Compare the returned value with the configured value recorded from the EEPROM in Step 1360.</t>
  </si>
  <si>
    <t>The I2C read command shall complete successfully and return one hexadecimal byte from OV428 register 0x300E.
The value read from register 0x300E shall match the configured EEPROM value recorded in Step 1360.</t>
  </si>
  <si>
    <t>Did the I2C read command complete successfully? _____
Value read from OV428 register 0x300E: _____
Configured EEPROM value from Step 1360: _____
Do the two values match? _____
Evidence/terminal-output reference: _____</t>
  </si>
  <si>
    <t xml:space="preserve">1. Create the EEPROM binary file by executing:
printf '\x01\x09\x26\x00\x00\x9e\xd0\x99\x81\x01\x14\x1a\x05\x15\x00\x00\x00\x00\x00\x00\x01\x00\x00\x00\x02\x01\x00\x00\x00\x00\x00\x00\x30\x0e\xe1\x36\x01\x00' &gt; /tmp/eeprom.bin
2. Verify that /tmp/eeprom.bin was created successfully.
3. Identify the EEPROM device ID by executing:
ls /sys/devices/w1_bus_master1/
4. Write the binary file to the EEPROM by executing:
cat /tmp/eeprom.bin &gt; /sys/devices/w1_bus_master1/&lt;deviceID&gt;/eeprom
5. Verify that the write command completes without an error.
Note: The written EEPROM configuration specifies the value 0xE1 for OV428 register 0x300E. </t>
  </si>
  <si>
    <t>The EEPROM binary file shall be created successfully.
The EEPROM device ID shall be displayed.
The binary file shall be written to the selected EEPROM without errors.
The written configuration shall specify 0xE1 as the value for OV428 register 0x300E.</t>
  </si>
  <si>
    <t>Was /tmp/eeprom.bin created successfully? _____
Recorded EEPROM device ID: _____
Did the EEPROM write command complete without errors? _____
Configured value written for OV428 register 0x300E: _____
Evidence/output reference: _____</t>
  </si>
  <si>
    <t>1. Identify the EEPROM device ID by executing:
ls /sys/devices/w1_bus_master1/
2. Read the EEPROM contents by executing:
hexdump -v -C /sys/devices/w1_bus_master1/&lt;deviceID&gt;/eeprom
3. Locate the byte sequence "30 0e".
4. Verify that the byte immediately following this sequence is "e1".
Example: "30 0e e1" indicates that the EEPROM configuration value for OV428 register 0x300E is 0xE1.</t>
  </si>
  <si>
    <t>The EEPROM device ID shall be displayed.
The EEPROM contents shall be read successfully in hexadecimal format.
The EEPROM output shall contain the sequence "30 0e e1", confirming that the configured value for OV428 register 0x300E is 0xE1.</t>
  </si>
  <si>
    <t>Recorded EEPROM device ID: _____
Was the EEPROM read completed successfully? _____
Was the sequence "30 0e e1" found? _____
Evidence/output reference: _____</t>
  </si>
  <si>
    <t>1. Ensure the bronchoscope is connected and initialized using the EEPROM configuration verified in Step 1400.
2. From the device serial terminal, read OV428 register 0x300E on I2C bus 5 by executing:
/usr/sbin/i2ctransfer -y 5 w2@0x36 0x30 0x0e r1
3. Verify that the command completes successfully and returns one byte in hexadecimal format.
4. Record the returned value and compare it with the EEPROM value verified in Step 1390.</t>
  </si>
  <si>
    <t>The I2C read command shall complete successfully and return one hexadecimal byte from OV428 register 0x300E.
The value read from register 0x300E shall be 0xE1 and shall match the EEPROM value verified in Step 1390.</t>
  </si>
  <si>
    <t>Did the I2C read command complete successfully? _____
Value read from OV428 register 0x300E: _____
EEPROM value from Step 1400: _____
Is the register value 0xE1? _____
Do the register and EEPROM values match? _____
Evidence/terminal-output reference: _____</t>
  </si>
  <si>
    <t xml:space="preserve">1. Re-create the EEPROM binary file with the OV428 register 0x300E value set to 0xE7 by executing:
printf '\x01\x09\x26\x00\x00\x9e\xd0\x99\x81\x01\x14\x1a\x05\x15\x00\x00\x00\x00\x00\x00\x01\x00\x00\x00\x02\x01\x00\x00\x00\x00\x00\x00\x30\x0e\xe7\x36\x01\x00' &gt; /tmp/eeprom.bin
2. Verify that /tmp/eeprom.bin was created successfully.
3. Identify the EEPROM device ID by executing:
ls /sys/devices/w1_bus_master1/
4. Write the binary file to the EEPROM by executing:
cat /tmp/eeprom.bin &gt; /sys/devices/w1_bus_master1/&lt;deviceID&gt;/eeprom
5. Verify that the write command completes without an error.
</t>
  </si>
  <si>
    <t>The EEPROM binary file shall be created successfully.
The EEPROM device ID shall be displayed.
The binary file shall be written to the selected EEPROM without errors.
The written configuration shall specify 0xE7 as the value for OV428 register 0x300E.</t>
  </si>
  <si>
    <t>1. Identify the EEPROM device ID by executing:
ls /sys/devices/w1_bus_master1/
2. Read the EEPROM contents by executing:
hexdump -v -C /sys/devices/w1_bus_master1/&lt;deviceID&gt;/eeprom
3. Locate the byte sequence "30 0e".
4. Verify that the byte immediately following this sequence is "e7".
Example: "30 0e e7" indicates that the EEPROM configuration value for OV428 register 0x300E is 0xE7.</t>
  </si>
  <si>
    <t>The EEPROM device ID shall be displayed.
The EEPROM contents shall be read successfully in hexadecimal format.
The EEPROM output shall contain the sequence "30 0e e7", confirming that the configured value for OV428 register 0x300E is 0xE7.</t>
  </si>
  <si>
    <t>Recorded EEPROM device ID: _____
Was the EEPROM read completed successfully? _____
Was the sequence "30 0e e7" found? _____
Configured EEPROM value for OV428 register 0x300E: _____
Is the recorded value 0xE7? _____
Evidence/output reference: _____</t>
  </si>
  <si>
    <t>1. Ensure the bronchoscope is connected and initialized using the EEPROM configuration verified in Step 1430.
2. From the device serial terminal, read OV428 register 0x300E on I2C bus 5 by executing:
/usr/sbin/i2ctransfer -y 5 w2@0x36 0x30 0x0e r1
3. Verify that the command completes successfully and returns one byte in hexadecimal format.
4. Record the returned value and compare it with the EEPROM value verified in Step 1420.</t>
  </si>
  <si>
    <t>The I2C read command shall complete successfully and return one hexadecimal byte from OV428 register 0x300E.
The value read from register 0x300E shall be 0xE7 and shall match the EEPROM value verified in Step 1420.</t>
  </si>
  <si>
    <t>Did the I2C read command complete successfully? _____
Value read from OV428 register 0x300E: _____
EEPROM value from Step 1420: _____
Is the register value 0xE7? _____
Do the register and EEPROM values match? _____
Evidence/terminal-output reference: _____</t>
  </si>
  <si>
    <t>Stopwatch method calculator helper</t>
  </si>
  <si>
    <t>Stopwatch Time on snap</t>
  </si>
  <si>
    <t>Millisecs</t>
  </si>
  <si>
    <t>Stopwatch Time on Display on same snap</t>
  </si>
  <si>
    <t>Diff</t>
  </si>
  <si>
    <t>00:00:120</t>
  </si>
  <si>
    <t>00:00:20</t>
  </si>
  <si>
    <t> </t>
  </si>
  <si>
    <t>Average</t>
  </si>
  <si>
    <t>Note: While entering the number insure the formatting should be same and remove the first entry.</t>
  </si>
  <si>
    <t>Table 1</t>
  </si>
  <si>
    <t xml:space="preserve">Aspect ratio test for Port B </t>
  </si>
  <si>
    <t>S. No.</t>
  </si>
  <si>
    <t>Test Method</t>
  </si>
  <si>
    <t>Actual Result</t>
  </si>
  <si>
    <t>Table1-10</t>
  </si>
  <si>
    <t>Keep the camera connected to Port B. Verify that the camera feed is displayed in the center of the screen.</t>
  </si>
  <si>
    <t>The device displays the camera feed and displays Port B as selected.</t>
  </si>
  <si>
    <t>Does the device display the camera feed and display Port B as selected? ______</t>
  </si>
  <si>
    <t>Table1-20</t>
  </si>
  <si>
    <t>Measure the width and height of the displayed camera feed using a scale. Record the measured values. Calculate the aspect ratio using Width ÷ Height and record the calculated value.</t>
  </si>
  <si>
    <t>The width and height of the displayed camera feed are measured and recorded. The calculated aspect ratio is recorded.</t>
  </si>
  <si>
    <t>Is the measured width = ______ and height = ______? 
Is the calculated aspect ratio Width ÷ Height = ______?</t>
  </si>
  <si>
    <t>Table1-30</t>
  </si>
  <si>
    <t>Press the Zoom button twice to set the zoom level to 200%. Measure the width and height of the displayed camera feed using a scale. Record the measured values. Calculate the aspect ratio using Width ÷ Height and record the calculated value.</t>
  </si>
  <si>
    <t>The camera feed is displayed at 200% zoom. The width and height of the displayed camera feed are measured and recorded. The calculated aspect ratio is recorded.</t>
  </si>
  <si>
    <t>Does the camera feed change to 200% zoom? 
Is the measured width = ______ and height = ______?
Is the calculated aspect ratio Width ÷ Height = ______?</t>
  </si>
  <si>
    <t>Table1-40</t>
  </si>
  <si>
    <t>Verify that the aspect ratio calculated before zooming and after applying 200% zoom is the same.</t>
  </si>
  <si>
    <t>The device displays the same aspect ratio before and after applying 200% zoom.</t>
  </si>
  <si>
    <t>Is the aspect ratio before zoom ______ and after 200% zoom ______? 
Is the aspect ratio the same before and after zoom? ______</t>
  </si>
  <si>
    <t>Table1-50</t>
  </si>
  <si>
    <t>Connect the camera to Port C to switch the device to Dual View mode. Measure the width and height of the Port B camera feed using a scale. Record the measured values. Calculate the aspect ratio using Width ÷ Height and record the calculated value.</t>
  </si>
  <si>
    <t>The device displays the same aspect ratio for the Port B camera feed in Single View and Dual View modes.</t>
  </si>
  <si>
    <t>Is the measured Port B width = ______ and height = ______? 
Is the calculated aspect ratio Width ÷ Height = ______? 
Is the aspect ratio the same as in Single View? ______</t>
  </si>
  <si>
    <t>Table 2</t>
  </si>
  <si>
    <t>Aspect ratio test for Port C</t>
  </si>
  <si>
    <t>Table2-10</t>
  </si>
  <si>
    <t>Keep the camera connected to Port C. Verify that the camera feed is displayed in the center of the screen.</t>
  </si>
  <si>
    <t>The device displays the camera feed and displays Port C as selected.</t>
  </si>
  <si>
    <t>Does the device display the camera feed and display Port C as selected? ______</t>
  </si>
  <si>
    <t>Table2-20</t>
  </si>
  <si>
    <t>Is the measured width = ______ and height = ______?
Is the calculated aspect ratio Width ÷ Height = ______?</t>
  </si>
  <si>
    <t>Table2-30</t>
  </si>
  <si>
    <t>Does the camera feed change to 200% zoom? Is the measured width = ______ and height = ______? 
Is the calculated aspect ratio Width ÷ Height = ______?</t>
  </si>
  <si>
    <t>Table2-40</t>
  </si>
  <si>
    <t>Is the aspect ratio before zoom ______ and after 200% zoom ______?
Is the aspect ratio the same before and after zoom? ______</t>
  </si>
  <si>
    <t>Table2-50</t>
  </si>
  <si>
    <t>Connect the camera to Port B to switch the device to Dual View mode. Measure the width and height of the Port C camera feed using a scale. Record the measured values. Calculate the aspect ratio using Width ÷ Height and record the calculated value.</t>
  </si>
  <si>
    <t>The device displays the same aspect ratio for the Port C camera feed in Single View and Dual View modes.</t>
  </si>
  <si>
    <t>Is the measured Port C width = ______ and height = ______?
Is the calculated aspect ratio Width ÷ Height = ______? 
Is the aspect ratio the same as in Single View? ______</t>
  </si>
  <si>
    <t>Table 3</t>
  </si>
  <si>
    <t>Table3-10</t>
  </si>
  <si>
    <t>Keep the camera connected to Port A. Verify that the camera feed is displayed in the center of the screen.</t>
  </si>
  <si>
    <t>The device displays the camera feed and displays Port A as selected.</t>
  </si>
  <si>
    <t>Does the device display the camera feed and display Port A as selected? ______</t>
  </si>
  <si>
    <t>Table3-20</t>
  </si>
  <si>
    <t>Table3-30</t>
  </si>
  <si>
    <t>Table3-40</t>
  </si>
  <si>
    <t>Table3-50</t>
  </si>
  <si>
    <t>Connect the camera to Port B to switch the device to Dual View mode. Measure the width and height of the Port A camera feed using a scale. Record the measured values. Calculate the aspect ratio using Width ÷ Height and record the calculated value.</t>
  </si>
  <si>
    <t>The device displays the same aspect ratio for the Port A camera feed in Single View and Dual View modes.</t>
  </si>
  <si>
    <t>Is the measured Port A width = ______ and height = ______?
Is the calculated aspect ratio Width ÷ Height = ______? 
Is the aspect ratio the same as in Single View? ______</t>
  </si>
  <si>
    <t>OV428 Register Readback Review</t>
  </si>
  <si>
    <t>Register Address</t>
  </si>
  <si>
    <t>Expected Read Value</t>
  </si>
  <si>
    <t>Review Comment</t>
  </si>
  <si>
    <t>Actual Received Value</t>
  </si>
  <si>
    <t>0x0301</t>
  </si>
  <si>
    <t>0x88</t>
  </si>
  <si>
    <t>0x0304</t>
  </si>
  <si>
    <t>0x00</t>
  </si>
  <si>
    <t>0x0305</t>
  </si>
  <si>
    <t>0xF0</t>
  </si>
  <si>
    <t>0x0306</t>
  </si>
  <si>
    <t>0x04</t>
  </si>
  <si>
    <t>0x0307</t>
  </si>
  <si>
    <t>0x0324</t>
  </si>
  <si>
    <t>0x0325</t>
  </si>
  <si>
    <t>0x032A</t>
  </si>
  <si>
    <t>0x0E</t>
  </si>
  <si>
    <t>0x032B</t>
  </si>
  <si>
    <t>0x02</t>
  </si>
  <si>
    <t>0x3001</t>
  </si>
  <si>
    <t>0x16</t>
  </si>
  <si>
    <t>0x300D</t>
  </si>
  <si>
    <t>0x01</t>
  </si>
  <si>
    <t>0x300E</t>
  </si>
  <si>
    <t>Based On EEPROM</t>
  </si>
  <si>
    <t>0x300F</t>
  </si>
  <si>
    <t>0x3013</t>
  </si>
  <si>
    <t>0x31</t>
  </si>
  <si>
    <t>0x3014</t>
  </si>
  <si>
    <t>0x3015</t>
  </si>
  <si>
    <t>0x3018</t>
  </si>
  <si>
    <t>0x301A</t>
  </si>
  <si>
    <t>0xAA</t>
  </si>
  <si>
    <t>0x3031</t>
  </si>
  <si>
    <t>0x3107</t>
  </si>
  <si>
    <t>0x3200</t>
  </si>
  <si>
    <t>0x3201</t>
  </si>
  <si>
    <t>0x20</t>
  </si>
  <si>
    <t>0x3202</t>
  </si>
  <si>
    <t>0x3204</t>
  </si>
  <si>
    <t>0xCE</t>
  </si>
  <si>
    <t>0x3207</t>
  </si>
  <si>
    <t>0x3208</t>
  </si>
  <si>
    <t>0x10</t>
  </si>
  <si>
    <t>0x3209</t>
  </si>
  <si>
    <t>0x03</t>
  </si>
  <si>
    <t>0x3215</t>
  </si>
  <si>
    <t>0x3416</t>
  </si>
  <si>
    <t>0x3418</t>
  </si>
  <si>
    <t>0x3500</t>
  </si>
  <si>
    <t>Not applicable: this register is effective only in manual exposure mode; the current configuration uses auto-exposure mode.</t>
  </si>
  <si>
    <t>0x3501</t>
  </si>
  <si>
    <t>0x3502</t>
  </si>
  <si>
    <t>0xBE</t>
  </si>
  <si>
    <t>0x3503</t>
  </si>
  <si>
    <t>0x3508</t>
  </si>
  <si>
    <t>Not applicable: this register is effective only in manual gain mode; the current configuration uses auto-gain mode.</t>
  </si>
  <si>
    <t>0x3509</t>
  </si>
  <si>
    <t>0x350A</t>
  </si>
  <si>
    <t>Accepted exception: the OmniVision OVD file sets this register to 0x01, but the readback value is 0x02. The datasheet does not provide a clear definition.</t>
  </si>
  <si>
    <t>0x350B</t>
  </si>
  <si>
    <t>0xD0</t>
  </si>
  <si>
    <t>Accepted exception: the OmniVision OVD file sets this register to 0x00, but the readback value is 0xD0. The datasheet does not provide a clear definition.</t>
  </si>
  <si>
    <t>0x350C</t>
  </si>
  <si>
    <t>Accepted exception: the OmniVision OVD file sets this register to 0x00 and the readback value is 0x00. The datasheet does not provide a clear definition.</t>
  </si>
  <si>
    <t>0x3523</t>
  </si>
  <si>
    <t>0x3524</t>
  </si>
  <si>
    <t>0x3600</t>
  </si>
  <si>
    <t>0x3601</t>
  </si>
  <si>
    <t>0x3602</t>
  </si>
  <si>
    <t>0x08</t>
  </si>
  <si>
    <t>0x3603</t>
  </si>
  <si>
    <t>0x50</t>
  </si>
  <si>
    <t>0x3604</t>
  </si>
  <si>
    <t>0x14</t>
  </si>
  <si>
    <t>0x3605</t>
  </si>
  <si>
    <t>0x40</t>
  </si>
  <si>
    <t>0x3606</t>
  </si>
  <si>
    <t>0x3607</t>
  </si>
  <si>
    <t>0x3608</t>
  </si>
  <si>
    <t>0x30</t>
  </si>
  <si>
    <t>0x360E</t>
  </si>
  <si>
    <t>0x360F</t>
  </si>
  <si>
    <t>0x3611</t>
  </si>
  <si>
    <t>0x3612</t>
  </si>
  <si>
    <t>0x80</t>
  </si>
  <si>
    <t>0x3617</t>
  </si>
  <si>
    <t>0x3631</t>
  </si>
  <si>
    <t>0x91</t>
  </si>
  <si>
    <t>0x3660</t>
  </si>
  <si>
    <t>0x3663</t>
  </si>
  <si>
    <t>0x3664</t>
  </si>
  <si>
    <t>0x3668</t>
  </si>
  <si>
    <t>0x366A</t>
  </si>
  <si>
    <t>0xB5</t>
  </si>
  <si>
    <t>0x3672</t>
  </si>
  <si>
    <t>0x36</t>
  </si>
  <si>
    <t>0x3674</t>
  </si>
  <si>
    <t>0xF6</t>
  </si>
  <si>
    <t>0x3701</t>
  </si>
  <si>
    <t>0x70</t>
  </si>
  <si>
    <t>0x3702</t>
  </si>
  <si>
    <t>0x49</t>
  </si>
  <si>
    <t>0x3708</t>
  </si>
  <si>
    <t>0x0B</t>
  </si>
  <si>
    <t>0x3709</t>
  </si>
  <si>
    <t>0x11</t>
  </si>
  <si>
    <t>0x370A</t>
  </si>
  <si>
    <t>0x370B</t>
  </si>
  <si>
    <t>0x370C</t>
  </si>
  <si>
    <t>0x06</t>
  </si>
  <si>
    <t>0x3730</t>
  </si>
  <si>
    <t>0x3731</t>
  </si>
  <si>
    <t>0x3732</t>
  </si>
  <si>
    <t>0x3733</t>
  </si>
  <si>
    <t>0xFF</t>
  </si>
  <si>
    <t>0x3736</t>
  </si>
  <si>
    <t>0x3737</t>
  </si>
  <si>
    <t>0x373A</t>
  </si>
  <si>
    <t>0x3760</t>
  </si>
  <si>
    <t>Accepted exception: the OmniVision OVD file sets this register to 0x80, but the readback value is 0x00. The datasheet does not define this register.</t>
  </si>
  <si>
    <t>0x3800</t>
  </si>
  <si>
    <t>0x3805</t>
  </si>
  <si>
    <t>0x3806</t>
  </si>
  <si>
    <t>0xC4</t>
  </si>
  <si>
    <t>0x3809</t>
  </si>
  <si>
    <t>0x380B</t>
  </si>
  <si>
    <t>0x6C</t>
  </si>
  <si>
    <t>0x3812</t>
  </si>
  <si>
    <t>0x3813</t>
  </si>
  <si>
    <t>0xDC</t>
  </si>
  <si>
    <t>0x3820</t>
  </si>
  <si>
    <t>0x3821</t>
  </si>
  <si>
    <t>0x3822</t>
  </si>
  <si>
    <t>0x3823</t>
  </si>
  <si>
    <t>0x3824</t>
  </si>
  <si>
    <t>0x3825</t>
  </si>
  <si>
    <t>0xD7</t>
  </si>
  <si>
    <t>0x3826</t>
  </si>
  <si>
    <t>0x3827</t>
  </si>
  <si>
    <t>0x3828</t>
  </si>
  <si>
    <t>0x3829</t>
  </si>
  <si>
    <t>0x90</t>
  </si>
  <si>
    <t>0x382A</t>
  </si>
  <si>
    <t>0x382B</t>
  </si>
  <si>
    <t>0x382C</t>
  </si>
  <si>
    <t>0x382D</t>
  </si>
  <si>
    <t>0x382E</t>
  </si>
  <si>
    <t>0x382F</t>
  </si>
  <si>
    <t>0x3831</t>
  </si>
  <si>
    <t>0x3833</t>
  </si>
  <si>
    <t>0x3840</t>
  </si>
  <si>
    <t>0x3852</t>
  </si>
  <si>
    <t>0x3853</t>
  </si>
  <si>
    <t>0xBF</t>
  </si>
  <si>
    <t>0x3854</t>
  </si>
  <si>
    <t>0x3855</t>
  </si>
  <si>
    <t>0x3856</t>
  </si>
  <si>
    <t>0x0A</t>
  </si>
  <si>
    <t>0x3A00</t>
  </si>
  <si>
    <t>0x18</t>
  </si>
  <si>
    <t>0x3A02</t>
  </si>
  <si>
    <t>0x3A03</t>
  </si>
  <si>
    <t>0x3A05</t>
  </si>
  <si>
    <t>0x3A0F</t>
  </si>
  <si>
    <t>0x3A10</t>
  </si>
  <si>
    <t>0x3A11</t>
  </si>
  <si>
    <t>0x3A13</t>
  </si>
  <si>
    <t>0x94</t>
  </si>
  <si>
    <t>0x3A14</t>
  </si>
  <si>
    <t>0x3A15</t>
  </si>
  <si>
    <t>0x3A18</t>
  </si>
  <si>
    <t>0x3A19</t>
  </si>
  <si>
    <t>0x3A1A</t>
  </si>
  <si>
    <t>0x3A1B</t>
  </si>
  <si>
    <t>0x3A1E</t>
  </si>
  <si>
    <t>0x3D85</t>
  </si>
  <si>
    <t>0x3F05</t>
  </si>
  <si>
    <t>0x4002</t>
  </si>
  <si>
    <t>0x4003</t>
  </si>
  <si>
    <t>0x60</t>
  </si>
  <si>
    <t>0x4004</t>
  </si>
  <si>
    <t>0x4005</t>
  </si>
  <si>
    <t>0x4006</t>
  </si>
  <si>
    <t>0x4007</t>
  </si>
  <si>
    <t>0x4008</t>
  </si>
  <si>
    <t>0x4009</t>
  </si>
  <si>
    <t>0x400A</t>
  </si>
  <si>
    <t>0x400C</t>
  </si>
  <si>
    <t>0x400D</t>
  </si>
  <si>
    <t>0x4010</t>
  </si>
  <si>
    <t>0x4604</t>
  </si>
  <si>
    <t>0x48</t>
  </si>
  <si>
    <t>0x480E</t>
  </si>
  <si>
    <t>0x4813</t>
  </si>
  <si>
    <t>0xE4</t>
  </si>
  <si>
    <t>0x4827</t>
  </si>
  <si>
    <t>0x4837</t>
  </si>
  <si>
    <t>0x4B27</t>
  </si>
  <si>
    <t>0x4F01</t>
  </si>
  <si>
    <t>0x13</t>
  </si>
  <si>
    <t>0x5004</t>
  </si>
  <si>
    <t>0x5005</t>
  </si>
  <si>
    <t>0x500C</t>
  </si>
  <si>
    <t>0x500D</t>
  </si>
  <si>
    <t>0x24</t>
  </si>
  <si>
    <t>0x5010</t>
  </si>
  <si>
    <t>0x5011</t>
  </si>
  <si>
    <t>0x98</t>
  </si>
  <si>
    <t>0x5012</t>
  </si>
  <si>
    <t>0x5013</t>
  </si>
  <si>
    <t>0x5016</t>
  </si>
  <si>
    <t>0x5017</t>
  </si>
  <si>
    <t>0x97</t>
  </si>
  <si>
    <t>0x501A</t>
  </si>
  <si>
    <t>0x501B</t>
  </si>
  <si>
    <t>0x93</t>
  </si>
  <si>
    <t>0x5020</t>
  </si>
  <si>
    <t>0x5021</t>
  </si>
  <si>
    <t>0x5022</t>
  </si>
  <si>
    <t>0x5023</t>
  </si>
  <si>
    <t>0x5044</t>
  </si>
  <si>
    <t>0x5045</t>
  </si>
  <si>
    <t>0x5048</t>
  </si>
  <si>
    <t>0x5049</t>
  </si>
  <si>
    <t>0x504A</t>
  </si>
  <si>
    <t>0x504B</t>
  </si>
  <si>
    <t>0x5050</t>
  </si>
  <si>
    <t>0x5051</t>
  </si>
  <si>
    <t>0x5052</t>
  </si>
  <si>
    <t>0x5053</t>
  </si>
  <si>
    <t>0x5054</t>
  </si>
  <si>
    <t>0x5055</t>
  </si>
  <si>
    <t>0x5056</t>
  </si>
  <si>
    <t>0x5057</t>
  </si>
  <si>
    <t>0x5058</t>
  </si>
  <si>
    <t>0x5059</t>
  </si>
  <si>
    <t>0x505A</t>
  </si>
  <si>
    <t>0x505B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</si>
</sst>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12"/>
      <color theme="1"/>
      <name val="Arial"/>
      <family val="2"/>
    </font>
    <font>
      <sz val="12"/>
      <color theme="1"/>
      <name val="Arial"/>
      <family val="2"/>
    </font>
    <font>
      <sz val="8"/>
      <name val="Calibri"/>
      <family val="2"/>
      <scheme val="minor"/>
    </font>
    <font>
      <i/>
      <sz val="12"/>
      <color theme="1"/>
      <name val="Arial"/>
      <family val="2"/>
    </font>
    <font>
      <sz val="22"/>
      <color theme="1"/>
      <name val="Arial"/>
      <family val="2"/>
    </font>
    <font>
      <sz val="22"/>
      <name val="Arial"/>
      <family val="2"/>
    </font>
    <font>
      <b/>
      <sz val="22"/>
      <name val="Arial"/>
      <family val="2"/>
    </font>
    <font>
      <b/>
      <sz val="22"/>
      <color theme="1"/>
      <name val="Arial"/>
      <family val="2"/>
    </font>
    <font>
      <sz val="22"/>
      <color theme="1"/>
      <name val="Calibri"/>
      <family val="2"/>
      <scheme val="minor"/>
    </font>
    <font>
      <b/>
      <sz val="22"/>
      <color rgb="FF000000"/>
      <name val="Calibri"/>
      <family val="2"/>
      <scheme val="minor"/>
    </font>
    <font>
      <b/>
      <sz val="22"/>
      <color theme="1"/>
      <name val="Calibri"/>
      <family val="2"/>
      <scheme val="minor"/>
    </font>
    <font>
      <i/>
      <sz val="22"/>
      <color theme="1"/>
      <name val="Calibri"/>
      <family val="2"/>
      <scheme val="minor"/>
    </font>
    <font>
      <i/>
      <sz val="10"/>
      <color theme="1"/>
      <name val="Arial"/>
      <family val="2"/>
    </font>
    <font>
      <b/>
      <sz val="10"/>
      <color theme="1"/>
      <name val="Arial"/>
      <family val="2"/>
    </font>
    <font>
      <sz val="10"/>
      <color theme="1"/>
      <name val="Arial"/>
      <family val="2"/>
    </font>
    <font>
      <b/>
      <sz val="12"/>
      <color rgb="FF000000"/>
      <name val="Arial"/>
      <family val="2"/>
    </font>
    <font>
      <i/>
      <sz val="12"/>
      <color rgb="FF000000"/>
      <name val="Arial"/>
      <family val="2"/>
    </font>
    <font>
      <sz val="11"/>
      <color rgb="FF000000"/>
      <name val="Calibri"/>
      <family val="2"/>
      <scheme val="minor"/>
    </font>
    <font>
      <i/>
      <sz val="11"/>
      <color rgb="FF000000"/>
      <name val="Calibri"/>
      <family val="2"/>
      <scheme val="minor"/>
    </font>
    <font>
      <b/>
      <sz val="11"/>
      <color rgb="FF000000"/>
      <name val="Calibri"/>
      <family val="2"/>
      <scheme val="minor"/>
    </font>
    <font>
      <b/>
      <sz val="11"/>
      <color theme="1"/>
      <name val="Calibri"/>
      <family val="2"/>
      <scheme val="minor"/>
    </font>
    <font>
      <sz val="10"/>
      <color rgb="FF000000"/>
      <name val="Arial"/>
      <family val="2"/>
    </font>
    <font>
      <b/>
      <i/>
      <sz val="22"/>
      <color rgb="FF000000"/>
      <name val="Calibri"/>
      <family val="2"/>
      <scheme val="minor"/>
    </font>
    <font>
      <b/>
      <sz val="11"/>
      <color rgb="FF000000"/>
      <name val="Aptos Narrow"/>
      <family val="2"/>
    </font>
    <font>
      <sz val="11"/>
      <color rgb="FF000000"/>
      <name val="Aptos Narrow"/>
      <family val="2"/>
    </font>
    <font>
      <b/>
      <sz val="14"/>
      <color rgb="FFFFFFFF"/>
      <name val="Cambria"/>
      <family val="1"/>
    </font>
    <font>
      <b/>
      <sz val="11"/>
      <color rgb="FFFFFFFF"/>
      <name val="Cambria"/>
      <family val="1"/>
    </font>
    <font>
      <sz val="10"/>
      <color rgb="FF008000"/>
      <name val="Consolas"/>
      <family val="3"/>
    </font>
    <font>
      <b/>
      <sz val="12"/>
      <color rgb="FF000000"/>
      <name val="Arial"/>
      <family val="2"/>
    </font>
    <font>
      <sz val="12"/>
      <color rgb="FF000000"/>
      <name val="Arial"/>
      <family val="2"/>
    </font>
  </fonts>
  <fills count="12">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rgb="FFD9D9D9"/>
        <bgColor indexed="64"/>
      </patternFill>
    </fill>
    <fill>
      <patternFill patternType="solid">
        <fgColor rgb="FFD9D9D9"/>
        <bgColor rgb="FF000000"/>
      </patternFill>
    </fill>
    <fill>
      <patternFill patternType="solid">
        <fgColor rgb="FFF2F2F2"/>
        <bgColor rgb="FF000000"/>
      </patternFill>
    </fill>
    <fill>
      <patternFill patternType="solid">
        <fgColor rgb="FF17365D"/>
        <bgColor rgb="FF1F4E78"/>
      </patternFill>
    </fill>
    <fill>
      <patternFill patternType="solid">
        <fgColor rgb="FF1F4E78"/>
        <bgColor rgb="FF17365D"/>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right/>
      <top style="thin">
        <color indexed="64"/>
      </top>
      <bottom/>
      <diagonal/>
    </border>
  </borders>
  <cellStyleXfs count="1">
    <xf numFmtId="0" fontId="0" fillId="0" borderId="0"/>
  </cellStyleXfs>
  <cellXfs count="84">
    <xf numFmtId="0" fontId="0" fillId="0" borderId="0" xfId="0"/>
    <xf numFmtId="0" fontId="2" fillId="0" borderId="0" xfId="0" applyFont="1" applyAlignment="1">
      <alignment wrapText="1"/>
    </xf>
    <xf numFmtId="0" fontId="0" fillId="0" borderId="0" xfId="0" applyAlignment="1">
      <alignment horizontal="left" vertical="center"/>
    </xf>
    <xf numFmtId="0" fontId="5" fillId="0" borderId="0" xfId="0" applyFont="1"/>
    <xf numFmtId="0" fontId="6" fillId="0" borderId="0" xfId="0" applyFont="1" applyAlignment="1">
      <alignment horizontal="right"/>
    </xf>
    <xf numFmtId="0" fontId="5" fillId="0" borderId="0" xfId="0" applyFont="1" applyAlignment="1">
      <alignment horizontal="center"/>
    </xf>
    <xf numFmtId="0" fontId="9" fillId="0" borderId="0" xfId="0" applyFont="1"/>
    <xf numFmtId="0" fontId="5" fillId="0" borderId="0" xfId="0" applyFont="1" applyAlignment="1">
      <alignment horizontal="center" vertical="center"/>
    </xf>
    <xf numFmtId="0" fontId="10" fillId="7" borderId="1" xfId="0" applyFont="1" applyFill="1" applyBorder="1" applyAlignment="1">
      <alignment horizontal="center" vertical="center" wrapText="1"/>
    </xf>
    <xf numFmtId="0" fontId="0" fillId="0" borderId="0" xfId="0" applyAlignment="1">
      <alignment vertical="center"/>
    </xf>
    <xf numFmtId="0" fontId="9" fillId="0" borderId="1" xfId="0" applyFont="1" applyBorder="1" applyAlignment="1">
      <alignment horizontal="center" vertical="center" wrapText="1"/>
    </xf>
    <xf numFmtId="0" fontId="9" fillId="0" borderId="0" xfId="0" applyFont="1" applyAlignment="1">
      <alignment horizontal="center" vertical="center" wrapText="1"/>
    </xf>
    <xf numFmtId="0" fontId="0" fillId="0" borderId="0" xfId="0" applyAlignment="1">
      <alignment horizontal="center"/>
    </xf>
    <xf numFmtId="0" fontId="2" fillId="0" borderId="0" xfId="0" applyFont="1"/>
    <xf numFmtId="14" fontId="9" fillId="0" borderId="1" xfId="0" applyNumberFormat="1" applyFont="1" applyBorder="1" applyAlignment="1">
      <alignment horizontal="center" vertical="center" wrapText="1"/>
    </xf>
    <xf numFmtId="1" fontId="2" fillId="0" borderId="0" xfId="0" applyNumberFormat="1" applyFont="1" applyAlignment="1">
      <alignment horizontal="center" vertical="top" wrapText="1"/>
    </xf>
    <xf numFmtId="0" fontId="1" fillId="0" borderId="2" xfId="0" applyFont="1" applyBorder="1" applyAlignment="1">
      <alignment vertical="center"/>
    </xf>
    <xf numFmtId="0" fontId="1" fillId="2" borderId="2" xfId="0" applyFont="1" applyFill="1" applyBorder="1" applyAlignment="1">
      <alignment horizontal="left" vertical="center"/>
    </xf>
    <xf numFmtId="0" fontId="1" fillId="0" borderId="2" xfId="0" applyFont="1" applyBorder="1" applyAlignment="1">
      <alignment horizontal="left" vertical="center" wrapText="1"/>
    </xf>
    <xf numFmtId="15" fontId="2" fillId="0" borderId="2" xfId="0" applyNumberFormat="1" applyFont="1" applyBorder="1" applyAlignment="1">
      <alignment horizontal="right" vertical="center"/>
    </xf>
    <xf numFmtId="0" fontId="8" fillId="0" borderId="0" xfId="0" applyFont="1"/>
    <xf numFmtId="0" fontId="0" fillId="0" borderId="2" xfId="0" applyBorder="1" applyAlignment="1">
      <alignment horizontal="left" vertical="center" wrapText="1"/>
    </xf>
    <xf numFmtId="0" fontId="0" fillId="0" borderId="2" xfId="0" applyBorder="1" applyAlignment="1">
      <alignment horizontal="center" wrapText="1"/>
    </xf>
    <xf numFmtId="0" fontId="25" fillId="0" borderId="7" xfId="0" applyFont="1" applyBorder="1"/>
    <xf numFmtId="0" fontId="25" fillId="0" borderId="9" xfId="0" applyFont="1" applyBorder="1"/>
    <xf numFmtId="0" fontId="25" fillId="0" borderId="10" xfId="0" applyFont="1" applyBorder="1"/>
    <xf numFmtId="0" fontId="25" fillId="0" borderId="11" xfId="0" applyFont="1" applyBorder="1"/>
    <xf numFmtId="0" fontId="24" fillId="0" borderId="11" xfId="0" applyFont="1" applyBorder="1"/>
    <xf numFmtId="0" fontId="24" fillId="0" borderId="12" xfId="0" applyFont="1" applyBorder="1"/>
    <xf numFmtId="0" fontId="25" fillId="8" borderId="6" xfId="0" applyFont="1" applyFill="1" applyBorder="1" applyAlignment="1">
      <alignment horizontal="center" wrapText="1"/>
    </xf>
    <xf numFmtId="0" fontId="25" fillId="8" borderId="7" xfId="0" applyFont="1" applyFill="1" applyBorder="1" applyAlignment="1">
      <alignment horizontal="center"/>
    </xf>
    <xf numFmtId="0" fontId="25" fillId="8" borderId="7" xfId="0" applyFont="1" applyFill="1" applyBorder="1" applyAlignment="1">
      <alignment horizontal="center" wrapText="1"/>
    </xf>
    <xf numFmtId="0" fontId="25" fillId="8" borderId="8" xfId="0" applyFont="1" applyFill="1" applyBorder="1" applyAlignment="1">
      <alignment horizontal="center"/>
    </xf>
    <xf numFmtId="0" fontId="25" fillId="9" borderId="13" xfId="0" applyFont="1" applyFill="1" applyBorder="1" applyAlignment="1">
      <alignment horizontal="center" wrapText="1"/>
    </xf>
    <xf numFmtId="0" fontId="27" fillId="11" borderId="1" xfId="0" applyFont="1" applyFill="1" applyBorder="1" applyAlignment="1">
      <alignment horizontal="center" vertical="center" wrapText="1"/>
    </xf>
    <xf numFmtId="0" fontId="28" fillId="0" borderId="1" xfId="0" applyFont="1" applyBorder="1" applyAlignment="1">
      <alignment vertical="top"/>
    </xf>
    <xf numFmtId="0" fontId="0" fillId="0" borderId="1" xfId="0" applyBorder="1" applyAlignment="1">
      <alignment vertical="top" wrapText="1"/>
    </xf>
    <xf numFmtId="0" fontId="0" fillId="0" borderId="1" xfId="0" applyBorder="1"/>
    <xf numFmtId="0" fontId="26" fillId="10" borderId="1" xfId="0" applyFont="1" applyFill="1" applyBorder="1" applyAlignment="1">
      <alignment vertical="center"/>
    </xf>
    <xf numFmtId="1" fontId="1" fillId="3" borderId="2" xfId="0" applyNumberFormat="1" applyFont="1" applyFill="1" applyBorder="1" applyAlignment="1">
      <alignment horizontal="center" vertical="top" wrapText="1"/>
    </xf>
    <xf numFmtId="0" fontId="1" fillId="3" borderId="2" xfId="0" applyFont="1" applyFill="1" applyBorder="1" applyAlignment="1">
      <alignment vertical="center" wrapText="1"/>
    </xf>
    <xf numFmtId="1" fontId="0" fillId="2" borderId="2" xfId="0" applyNumberFormat="1" applyFill="1" applyBorder="1" applyAlignment="1">
      <alignment horizontal="center" vertical="top" wrapText="1"/>
    </xf>
    <xf numFmtId="1" fontId="0" fillId="2" borderId="2" xfId="0" applyNumberFormat="1" applyFill="1" applyBorder="1" applyAlignment="1">
      <alignment horizontal="center" vertical="top"/>
    </xf>
    <xf numFmtId="49" fontId="25" fillId="0" borderId="6" xfId="0" applyNumberFormat="1" applyFont="1" applyBorder="1" applyAlignment="1">
      <alignment horizontal="center"/>
    </xf>
    <xf numFmtId="0" fontId="0" fillId="2" borderId="0" xfId="0" applyFill="1"/>
    <xf numFmtId="0" fontId="4" fillId="2"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9" fillId="0" borderId="1" xfId="0" applyFont="1" applyBorder="1" applyAlignment="1">
      <alignment horizontal="center" vertical="center" wrapText="1"/>
    </xf>
    <xf numFmtId="0" fontId="8" fillId="0" borderId="0" xfId="0" applyFont="1" applyAlignment="1">
      <alignment horizontal="left" vertical="top"/>
    </xf>
    <xf numFmtId="0" fontId="7" fillId="0" borderId="0" xfId="0" applyFont="1" applyAlignment="1">
      <alignment horizontal="center" vertical="center"/>
    </xf>
    <xf numFmtId="0" fontId="8" fillId="0" borderId="0" xfId="0" applyFont="1" applyAlignment="1">
      <alignment horizontal="center" vertical="center"/>
    </xf>
    <xf numFmtId="0" fontId="8" fillId="5" borderId="1" xfId="0" applyFont="1" applyFill="1" applyBorder="1" applyAlignment="1">
      <alignment horizontal="right" vertical="center"/>
    </xf>
    <xf numFmtId="0" fontId="8" fillId="0" borderId="1" xfId="0" applyFont="1" applyBorder="1" applyAlignment="1">
      <alignment horizontal="center"/>
    </xf>
    <xf numFmtId="0" fontId="8" fillId="0" borderId="1" xfId="0" applyFont="1" applyBorder="1" applyAlignment="1">
      <alignment horizontal="center" vertical="center"/>
    </xf>
    <xf numFmtId="0" fontId="0" fillId="0" borderId="14" xfId="0" applyBorder="1" applyAlignment="1">
      <alignment horizontal="left" wrapText="1"/>
    </xf>
    <xf numFmtId="0" fontId="2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0" fillId="7" borderId="1" xfId="0" applyFont="1" applyFill="1" applyBorder="1" applyAlignment="1">
      <alignment horizontal="center" vertical="center" wrapText="1"/>
    </xf>
    <xf numFmtId="0" fontId="0" fillId="0" borderId="2" xfId="0" applyBorder="1" applyAlignment="1">
      <alignment horizontal="left" vertical="center" wrapText="1"/>
    </xf>
    <xf numFmtId="0" fontId="1" fillId="6" borderId="2" xfId="0" applyFont="1" applyFill="1" applyBorder="1" applyAlignment="1">
      <alignment horizontal="left"/>
    </xf>
    <xf numFmtId="0" fontId="15" fillId="0" borderId="2" xfId="0" applyFont="1" applyBorder="1" applyAlignment="1">
      <alignment horizontal="left" vertical="center" wrapText="1"/>
    </xf>
    <xf numFmtId="0" fontId="2" fillId="0" borderId="2" xfId="0" applyFont="1" applyBorder="1" applyAlignment="1">
      <alignment horizontal="left" vertical="center"/>
    </xf>
    <xf numFmtId="0" fontId="14" fillId="4" borderId="2" xfId="0" applyFont="1" applyFill="1" applyBorder="1" applyAlignment="1">
      <alignment horizontal="left" vertical="center"/>
    </xf>
    <xf numFmtId="0" fontId="1" fillId="4" borderId="2" xfId="0" applyFont="1" applyFill="1" applyBorder="1" applyAlignment="1">
      <alignment horizontal="left" vertical="center"/>
    </xf>
    <xf numFmtId="0" fontId="15" fillId="0" borderId="2" xfId="0" applyFont="1" applyBorder="1" applyAlignment="1">
      <alignment horizontal="left" vertical="top" wrapText="1"/>
    </xf>
    <xf numFmtId="0" fontId="2" fillId="0" borderId="2" xfId="0" applyFont="1" applyBorder="1" applyAlignment="1">
      <alignment horizontal="left" vertical="center" wrapText="1"/>
    </xf>
    <xf numFmtId="0" fontId="14" fillId="4" borderId="2" xfId="0" applyFont="1" applyFill="1" applyBorder="1" applyAlignment="1">
      <alignment horizontal="left" vertical="top" wrapText="1"/>
    </xf>
    <xf numFmtId="0" fontId="13" fillId="0" borderId="2" xfId="0" applyFont="1" applyBorder="1" applyAlignment="1">
      <alignment horizontal="left" vertical="center" wrapText="1"/>
    </xf>
    <xf numFmtId="0" fontId="4" fillId="0" borderId="2" xfId="0" applyFont="1" applyBorder="1" applyAlignment="1">
      <alignment horizontal="left" vertical="center"/>
    </xf>
    <xf numFmtId="0" fontId="14" fillId="4" borderId="2" xfId="0" applyFont="1" applyFill="1" applyBorder="1" applyAlignment="1">
      <alignment horizontal="left"/>
    </xf>
    <xf numFmtId="0" fontId="1" fillId="4" borderId="2" xfId="0" applyFont="1" applyFill="1" applyBorder="1" applyAlignment="1">
      <alignment horizontal="left"/>
    </xf>
    <xf numFmtId="0" fontId="1" fillId="4" borderId="2" xfId="0" applyFont="1" applyFill="1" applyBorder="1" applyAlignment="1">
      <alignment horizontal="center" vertical="center"/>
    </xf>
    <xf numFmtId="0" fontId="1" fillId="2" borderId="2" xfId="0" applyFont="1" applyFill="1" applyBorder="1" applyAlignment="1">
      <alignment horizontal="left" vertical="center"/>
    </xf>
    <xf numFmtId="0" fontId="2" fillId="0" borderId="2" xfId="0" applyFont="1" applyBorder="1" applyAlignment="1">
      <alignment horizontal="center" vertical="center" wrapText="1"/>
    </xf>
    <xf numFmtId="0" fontId="29" fillId="3" borderId="2" xfId="0" applyFont="1" applyFill="1" applyBorder="1" applyAlignment="1">
      <alignment horizontal="left" vertical="center" wrapText="1"/>
    </xf>
    <xf numFmtId="0" fontId="1" fillId="3" borderId="2" xfId="0" applyFont="1" applyFill="1" applyBorder="1" applyAlignment="1">
      <alignment horizontal="left" vertical="center" wrapText="1"/>
    </xf>
    <xf numFmtId="0" fontId="1" fillId="4" borderId="2" xfId="0" applyFont="1" applyFill="1" applyBorder="1" applyAlignment="1">
      <alignment horizontal="center" vertical="center" wrapText="1"/>
    </xf>
    <xf numFmtId="0" fontId="16" fillId="3" borderId="2" xfId="0" applyFont="1" applyFill="1" applyBorder="1" applyAlignment="1">
      <alignment horizontal="left" vertical="center" wrapText="1"/>
    </xf>
    <xf numFmtId="0" fontId="24" fillId="8" borderId="3" xfId="0" applyFont="1" applyFill="1" applyBorder="1"/>
    <xf numFmtId="0" fontId="24" fillId="8" borderId="4" xfId="0" applyFont="1" applyFill="1" applyBorder="1"/>
    <xf numFmtId="0" fontId="24" fillId="8" borderId="5" xfId="0" applyFont="1" applyFill="1" applyBorder="1"/>
    <xf numFmtId="0" fontId="0" fillId="0" borderId="0" xfId="0" applyAlignment="1">
      <alignment horizontal="left" wrapText="1"/>
    </xf>
    <xf numFmtId="0" fontId="0" fillId="6" borderId="2" xfId="0" applyFill="1" applyBorder="1" applyAlignment="1">
      <alignment horizontal="center"/>
    </xf>
  </cellXfs>
  <cellStyles count="1">
    <cellStyle name="Normal" xfId="0" builtinId="0"/>
  </cellStyles>
  <dxfs count="5">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84667</xdr:colOff>
      <xdr:row>2</xdr:row>
      <xdr:rowOff>137583</xdr:rowOff>
    </xdr:from>
    <xdr:to>
      <xdr:col>8</xdr:col>
      <xdr:colOff>1543685</xdr:colOff>
      <xdr:row>3</xdr:row>
      <xdr:rowOff>254212</xdr:rowOff>
    </xdr:to>
    <xdr:pic>
      <xdr:nvPicPr>
        <xdr:cNvPr id="4" name="Picture 3">
          <a:extLst>
            <a:ext uri="{FF2B5EF4-FFF2-40B4-BE49-F238E27FC236}">
              <a16:creationId xmlns:a16="http://schemas.microsoft.com/office/drawing/2014/main" id="{E44EF2B4-3F07-5604-0DA7-37F4FE7026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953250" y="571500"/>
          <a:ext cx="1920875" cy="4635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5E5102-38A3-4C4A-921B-1AE22E17356C}" name="ReadRegisterReview" displayName="ReadRegisterReview" ref="A2:D181" totalsRowShown="0" headerRowDxfId="4">
  <autoFilter ref="A2:D181" xr:uid="{D05E5102-38A3-4C4A-921B-1AE22E17356C}"/>
  <tableColumns count="4">
    <tableColumn id="1" xr3:uid="{913C1F4D-B40A-48AE-A350-87E2ACDA91C1}" name="Register Address" dataDxfId="3"/>
    <tableColumn id="2" xr3:uid="{99CFBA1B-1E56-41B0-B675-7F24CF473D21}" name="Expected Read Value" dataDxfId="2"/>
    <tableColumn id="4" xr3:uid="{E018E38E-C9FD-45A7-B163-5DC41CD7FD2D}" name="Review Comment" dataDxfId="1"/>
    <tableColumn id="3" xr3:uid="{0187F296-EA4B-42C3-B408-1691AE38A7FE}" name="Actual Received Valu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908CD-8099-4FF4-B96C-52FA595DF8CC}">
  <sheetPr>
    <pageSetUpPr fitToPage="1"/>
  </sheetPr>
  <dimension ref="A1:F57"/>
  <sheetViews>
    <sheetView tabSelected="1" view="pageBreakPreview" topLeftCell="A13" zoomScale="55" zoomScaleNormal="55" zoomScaleSheetLayoutView="55" zoomScalePageLayoutView="60" workbookViewId="0">
      <selection activeCell="E18" sqref="E18"/>
    </sheetView>
  </sheetViews>
  <sheetFormatPr defaultRowHeight="14.4" x14ac:dyDescent="0.3"/>
  <cols>
    <col min="2" max="2" width="17.5546875" customWidth="1"/>
    <col min="3" max="3" width="48.77734375" customWidth="1"/>
    <col min="4" max="4" width="57.21875" customWidth="1"/>
    <col min="5" max="5" width="34.5546875" customWidth="1"/>
    <col min="6" max="6" width="47.77734375" style="12" customWidth="1"/>
  </cols>
  <sheetData>
    <row r="1" spans="1:6" ht="27.6" x14ac:dyDescent="0.45">
      <c r="A1" s="3"/>
      <c r="B1" s="3"/>
      <c r="C1" s="3"/>
      <c r="D1" s="3"/>
      <c r="E1" s="3"/>
      <c r="F1" s="4"/>
    </row>
    <row r="2" spans="1:6" ht="15.75" customHeight="1" x14ac:dyDescent="0.45">
      <c r="A2" s="3"/>
      <c r="B2" s="3"/>
      <c r="C2" s="3"/>
      <c r="D2" s="3"/>
      <c r="E2" s="3"/>
      <c r="F2" s="4"/>
    </row>
    <row r="3" spans="1:6" ht="15.75" customHeight="1" x14ac:dyDescent="0.45">
      <c r="A3" s="3"/>
      <c r="B3" s="3"/>
      <c r="C3" s="3"/>
      <c r="D3" s="3"/>
      <c r="E3" s="3"/>
      <c r="F3" s="4"/>
    </row>
    <row r="4" spans="1:6" ht="15.75" customHeight="1" x14ac:dyDescent="0.45">
      <c r="A4" s="3"/>
      <c r="B4" s="3"/>
      <c r="C4" s="3"/>
      <c r="D4" s="3"/>
      <c r="E4" s="3"/>
      <c r="F4" s="4"/>
    </row>
    <row r="5" spans="1:6" ht="27.6" x14ac:dyDescent="0.45">
      <c r="A5" s="3"/>
      <c r="B5" s="3"/>
      <c r="C5" s="3"/>
      <c r="D5" s="3"/>
      <c r="E5" s="3"/>
      <c r="F5" s="4"/>
    </row>
    <row r="6" spans="1:6" ht="27.6" x14ac:dyDescent="0.45">
      <c r="A6" s="3"/>
      <c r="B6" s="3"/>
      <c r="C6" s="3"/>
      <c r="D6" s="3"/>
      <c r="E6" s="3"/>
      <c r="F6" s="4"/>
    </row>
    <row r="7" spans="1:6" ht="28.2" x14ac:dyDescent="0.5">
      <c r="A7" s="3"/>
      <c r="B7" s="3"/>
      <c r="C7" s="3"/>
      <c r="D7" s="20" t="s">
        <v>0</v>
      </c>
      <c r="E7" s="3"/>
      <c r="F7" s="5"/>
    </row>
    <row r="8" spans="1:6" ht="15" customHeight="1" x14ac:dyDescent="0.3">
      <c r="A8" s="49" t="s">
        <v>1</v>
      </c>
      <c r="B8" s="50"/>
      <c r="C8" s="50"/>
      <c r="D8" s="50"/>
      <c r="E8" s="50"/>
      <c r="F8" s="50"/>
    </row>
    <row r="9" spans="1:6" ht="15" customHeight="1" x14ac:dyDescent="0.3">
      <c r="A9" s="50"/>
      <c r="B9" s="50"/>
      <c r="C9" s="50"/>
      <c r="D9" s="50"/>
      <c r="E9" s="50"/>
      <c r="F9" s="50"/>
    </row>
    <row r="10" spans="1:6" ht="30" customHeight="1" x14ac:dyDescent="0.45">
      <c r="A10" s="3"/>
      <c r="B10" s="3"/>
      <c r="C10" s="3"/>
      <c r="D10" s="3"/>
      <c r="E10" s="3"/>
      <c r="F10" s="5"/>
    </row>
    <row r="11" spans="1:6" ht="30" customHeight="1" x14ac:dyDescent="0.5">
      <c r="A11" s="51" t="s">
        <v>2</v>
      </c>
      <c r="B11" s="51"/>
      <c r="C11" s="51"/>
      <c r="D11" s="52" t="s">
        <v>0</v>
      </c>
      <c r="E11" s="52"/>
      <c r="F11" s="52"/>
    </row>
    <row r="12" spans="1:6" ht="30" customHeight="1" x14ac:dyDescent="0.3">
      <c r="A12" s="51" t="s">
        <v>3</v>
      </c>
      <c r="B12" s="51"/>
      <c r="C12" s="51"/>
      <c r="D12" s="53" t="s">
        <v>4</v>
      </c>
      <c r="E12" s="53"/>
      <c r="F12" s="53"/>
    </row>
    <row r="13" spans="1:6" ht="30" customHeight="1" x14ac:dyDescent="0.45">
      <c r="A13" s="3"/>
      <c r="B13" s="3"/>
      <c r="C13" s="3"/>
      <c r="D13" s="3"/>
      <c r="E13" s="3"/>
      <c r="F13" s="5"/>
    </row>
    <row r="14" spans="1:6" ht="30" customHeight="1" x14ac:dyDescent="0.45">
      <c r="A14" s="3"/>
      <c r="B14" s="3"/>
      <c r="C14" s="3"/>
      <c r="D14" s="3"/>
      <c r="E14" s="3"/>
      <c r="F14" s="5"/>
    </row>
    <row r="15" spans="1:6" ht="30" customHeight="1" x14ac:dyDescent="0.45">
      <c r="A15" s="3"/>
      <c r="B15" s="3"/>
      <c r="C15" s="3"/>
      <c r="D15" s="3"/>
      <c r="E15" s="3"/>
      <c r="F15" s="5"/>
    </row>
    <row r="16" spans="1:6" ht="30" customHeight="1" x14ac:dyDescent="0.45">
      <c r="A16" s="3"/>
      <c r="B16" s="3"/>
      <c r="C16" s="3"/>
      <c r="D16" s="3"/>
      <c r="E16" s="3"/>
      <c r="F16" s="5"/>
    </row>
    <row r="17" spans="1:6" ht="30" customHeight="1" x14ac:dyDescent="0.45">
      <c r="A17" s="3"/>
      <c r="B17" s="3"/>
      <c r="C17" s="3"/>
      <c r="D17" s="3"/>
      <c r="E17" s="3"/>
      <c r="F17" s="5"/>
    </row>
    <row r="18" spans="1:6" ht="30" customHeight="1" x14ac:dyDescent="0.55000000000000004">
      <c r="A18" s="6"/>
      <c r="B18" s="6"/>
      <c r="C18" s="6"/>
      <c r="D18" s="6"/>
      <c r="E18" s="6"/>
      <c r="F18" s="6"/>
    </row>
    <row r="19" spans="1:6" ht="30" customHeight="1" x14ac:dyDescent="0.45">
      <c r="A19" s="3"/>
      <c r="B19" s="7"/>
      <c r="C19" s="7"/>
      <c r="D19" s="7"/>
      <c r="E19" s="5"/>
      <c r="F19" s="5"/>
    </row>
    <row r="20" spans="1:6" ht="30" customHeight="1" x14ac:dyDescent="0.45">
      <c r="A20" s="3"/>
      <c r="B20" s="3"/>
      <c r="C20" s="3"/>
      <c r="D20" s="3"/>
      <c r="E20" s="3"/>
      <c r="F20" s="5"/>
    </row>
    <row r="21" spans="1:6" ht="30" customHeight="1" x14ac:dyDescent="0.55000000000000004">
      <c r="A21" s="6"/>
      <c r="B21" s="6"/>
      <c r="C21" s="6"/>
      <c r="D21" s="6"/>
      <c r="E21" s="6"/>
      <c r="F21" s="6"/>
    </row>
    <row r="22" spans="1:6" ht="30" customHeight="1" x14ac:dyDescent="0.45">
      <c r="A22" s="3"/>
      <c r="B22" s="7"/>
      <c r="C22" s="7"/>
      <c r="D22" s="7"/>
      <c r="E22" s="5"/>
      <c r="F22" s="5"/>
    </row>
    <row r="23" spans="1:6" ht="30" customHeight="1" x14ac:dyDescent="0.3">
      <c r="A23" s="48" t="s">
        <v>5</v>
      </c>
      <c r="B23" s="48"/>
      <c r="C23" s="48"/>
      <c r="D23" s="48"/>
      <c r="E23" s="48"/>
      <c r="F23" s="48"/>
    </row>
    <row r="24" spans="1:6" s="9" customFormat="1" ht="20.100000000000001" customHeight="1" x14ac:dyDescent="0.3">
      <c r="A24" s="58" t="s">
        <v>6</v>
      </c>
      <c r="B24" s="58"/>
      <c r="C24" s="58" t="s">
        <v>7</v>
      </c>
      <c r="D24" s="58"/>
      <c r="E24" s="8" t="s">
        <v>8</v>
      </c>
      <c r="F24" s="8" t="s">
        <v>9</v>
      </c>
    </row>
    <row r="25" spans="1:6" ht="32.549999999999997" customHeight="1" x14ac:dyDescent="0.3">
      <c r="A25" s="47" t="s">
        <v>10</v>
      </c>
      <c r="B25" s="47"/>
      <c r="C25" s="47" t="s">
        <v>11</v>
      </c>
      <c r="D25" s="47"/>
      <c r="E25" s="10" t="s">
        <v>12</v>
      </c>
      <c r="F25" s="14">
        <v>46281</v>
      </c>
    </row>
    <row r="26" spans="1:6" ht="30" customHeight="1" x14ac:dyDescent="0.3">
      <c r="A26" s="11"/>
      <c r="B26" s="11"/>
      <c r="C26" s="11"/>
      <c r="D26" s="11"/>
      <c r="E26" s="11"/>
      <c r="F26" s="11"/>
    </row>
    <row r="27" spans="1:6" ht="30" customHeight="1" x14ac:dyDescent="0.3">
      <c r="A27" s="11"/>
      <c r="B27" s="11"/>
      <c r="C27" s="11"/>
      <c r="D27" s="11"/>
      <c r="E27" s="11"/>
      <c r="F27" s="11"/>
    </row>
    <row r="28" spans="1:6" ht="30" customHeight="1" x14ac:dyDescent="0.3">
      <c r="A28" s="11"/>
      <c r="B28" s="11"/>
      <c r="C28" s="11"/>
      <c r="D28" s="11"/>
      <c r="E28" s="11"/>
      <c r="F28" s="11"/>
    </row>
    <row r="29" spans="1:6" ht="30" customHeight="1" x14ac:dyDescent="0.3">
      <c r="A29" s="11"/>
      <c r="B29" s="11"/>
      <c r="C29" s="11"/>
      <c r="D29" s="11"/>
      <c r="E29" s="11"/>
      <c r="F29" s="11"/>
    </row>
    <row r="30" spans="1:6" ht="30" customHeight="1" x14ac:dyDescent="0.3">
      <c r="A30" s="48" t="s">
        <v>13</v>
      </c>
      <c r="B30" s="48"/>
      <c r="C30" s="48"/>
      <c r="D30" s="48"/>
      <c r="E30" s="48"/>
      <c r="F30" s="48"/>
    </row>
    <row r="31" spans="1:6" ht="30" customHeight="1" x14ac:dyDescent="0.3">
      <c r="A31" s="58" t="s">
        <v>14</v>
      </c>
      <c r="B31" s="58"/>
      <c r="C31" s="58"/>
      <c r="D31" s="58" t="s">
        <v>15</v>
      </c>
      <c r="E31" s="58"/>
      <c r="F31" s="58"/>
    </row>
    <row r="32" spans="1:6" ht="30" customHeight="1" x14ac:dyDescent="0.3">
      <c r="A32" s="56" t="s">
        <v>16</v>
      </c>
      <c r="B32" s="56"/>
      <c r="C32" s="56"/>
      <c r="D32" s="47" t="s">
        <v>17</v>
      </c>
      <c r="E32" s="47"/>
      <c r="F32" s="47"/>
    </row>
    <row r="33" spans="1:6" ht="28.8" x14ac:dyDescent="0.3">
      <c r="A33" s="56" t="s">
        <v>18</v>
      </c>
      <c r="B33" s="56"/>
      <c r="C33" s="56"/>
      <c r="D33" s="47" t="s">
        <v>19</v>
      </c>
      <c r="E33" s="47"/>
      <c r="F33" s="47"/>
    </row>
    <row r="34" spans="1:6" x14ac:dyDescent="0.3">
      <c r="C34" s="44"/>
      <c r="F34"/>
    </row>
    <row r="37" spans="1:6" x14ac:dyDescent="0.3">
      <c r="F37"/>
    </row>
    <row r="38" spans="1:6" x14ac:dyDescent="0.3">
      <c r="F38"/>
    </row>
    <row r="39" spans="1:6" x14ac:dyDescent="0.3">
      <c r="F39"/>
    </row>
    <row r="40" spans="1:6" x14ac:dyDescent="0.3">
      <c r="F40"/>
    </row>
    <row r="43" spans="1:6" ht="28.5" customHeight="1" x14ac:dyDescent="0.3"/>
    <row r="44" spans="1:6" ht="28.5" customHeight="1" x14ac:dyDescent="0.3"/>
    <row r="45" spans="1:6" x14ac:dyDescent="0.3">
      <c r="F45"/>
    </row>
    <row r="46" spans="1:6" x14ac:dyDescent="0.3">
      <c r="F46"/>
    </row>
    <row r="47" spans="1:6" x14ac:dyDescent="0.3">
      <c r="F47"/>
    </row>
    <row r="48" spans="1:6" ht="28.2" x14ac:dyDescent="0.3">
      <c r="A48" s="48" t="s">
        <v>20</v>
      </c>
      <c r="B48" s="48"/>
      <c r="C48" s="48"/>
      <c r="D48" s="48"/>
      <c r="E48" s="48"/>
      <c r="F48" s="48"/>
    </row>
    <row r="49" spans="1:6" ht="31.05" customHeight="1" x14ac:dyDescent="0.3">
      <c r="A49" s="58" t="s">
        <v>21</v>
      </c>
      <c r="B49" s="58"/>
      <c r="C49" s="58"/>
      <c r="D49" s="58" t="s">
        <v>22</v>
      </c>
      <c r="E49" s="58"/>
      <c r="F49" s="58"/>
    </row>
    <row r="50" spans="1:6" ht="28.8" x14ac:dyDescent="0.3">
      <c r="A50" s="55" t="s">
        <v>23</v>
      </c>
      <c r="B50" s="56"/>
      <c r="C50" s="56"/>
      <c r="D50" s="57" t="s">
        <v>24</v>
      </c>
      <c r="E50" s="57"/>
      <c r="F50" s="57"/>
    </row>
    <row r="51" spans="1:6" ht="20.55" customHeight="1" x14ac:dyDescent="0.3">
      <c r="A51" s="54" t="s">
        <v>25</v>
      </c>
      <c r="B51" s="54"/>
      <c r="C51" s="54"/>
      <c r="D51" s="54"/>
      <c r="E51" s="54"/>
      <c r="F51" s="54"/>
    </row>
    <row r="52" spans="1:6" x14ac:dyDescent="0.3">
      <c r="F52"/>
    </row>
    <row r="53" spans="1:6" x14ac:dyDescent="0.3">
      <c r="F53"/>
    </row>
    <row r="54" spans="1:6" x14ac:dyDescent="0.3">
      <c r="F54"/>
    </row>
    <row r="55" spans="1:6" x14ac:dyDescent="0.3">
      <c r="F55"/>
    </row>
    <row r="56" spans="1:6" x14ac:dyDescent="0.3">
      <c r="F56"/>
    </row>
    <row r="57" spans="1:6" ht="37.5" customHeight="1" x14ac:dyDescent="0.3">
      <c r="F57"/>
    </row>
  </sheetData>
  <mergeCells count="23">
    <mergeCell ref="A51:F51"/>
    <mergeCell ref="A50:C50"/>
    <mergeCell ref="D50:F50"/>
    <mergeCell ref="A24:B24"/>
    <mergeCell ref="C24:D24"/>
    <mergeCell ref="A25:B25"/>
    <mergeCell ref="C25:D25"/>
    <mergeCell ref="A30:F30"/>
    <mergeCell ref="A31:C31"/>
    <mergeCell ref="A48:F48"/>
    <mergeCell ref="A49:C49"/>
    <mergeCell ref="D49:F49"/>
    <mergeCell ref="A33:C33"/>
    <mergeCell ref="D33:F33"/>
    <mergeCell ref="D31:F31"/>
    <mergeCell ref="A32:C32"/>
    <mergeCell ref="D32:F32"/>
    <mergeCell ref="A23:F23"/>
    <mergeCell ref="A8:F9"/>
    <mergeCell ref="A11:C11"/>
    <mergeCell ref="D11:F11"/>
    <mergeCell ref="A12:C12"/>
    <mergeCell ref="D12:F12"/>
  </mergeCells>
  <pageMargins left="0.70866141732283472" right="0.70866141732283472" top="1.7322834645669292" bottom="0.62992125984251968" header="0.31496062992125984" footer="0.31496062992125984"/>
  <pageSetup paperSize="9" scale="41" orientation="portrait" r:id="rId1"/>
  <headerFooter>
    <oddHeader xml:space="preserve">&amp;L&amp;G&amp;R&amp;12ProVu Vista Display
Integration Test Request-01 (Software)
       Document ID/Version: GTD-001224/A
  Date: 16-09-2026
</oddHeader>
    <oddFooter>&amp;L&amp;12GOP 004, Design and Development 
GOP004-F14 Issue No: 2&amp;R&amp;12&amp;P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FD95E-A61E-4ABA-ACF7-E674D9667775}">
  <sheetPr>
    <pageSetUpPr fitToPage="1"/>
  </sheetPr>
  <dimension ref="A1:I25"/>
  <sheetViews>
    <sheetView view="pageBreakPreview" zoomScale="85" zoomScaleNormal="85" zoomScaleSheetLayoutView="85" workbookViewId="0">
      <selection activeCell="A9" sqref="A9:I9"/>
    </sheetView>
  </sheetViews>
  <sheetFormatPr defaultColWidth="8.77734375" defaultRowHeight="14.4" x14ac:dyDescent="0.3"/>
  <cols>
    <col min="1" max="1" width="12.44140625" style="2" bestFit="1" customWidth="1"/>
    <col min="2" max="3" width="8.77734375" style="2"/>
    <col min="4" max="4" width="21" style="2" bestFit="1" customWidth="1"/>
    <col min="5" max="5" width="25.77734375" style="2" customWidth="1"/>
    <col min="6" max="6" width="8.77734375" style="2"/>
    <col min="7" max="7" width="16.44140625" style="2" customWidth="1"/>
    <col min="8" max="8" width="6.44140625" style="2" bestFit="1" customWidth="1"/>
    <col min="9" max="9" width="23.5546875" style="2" customWidth="1"/>
    <col min="10" max="16384" width="8.77734375" style="2"/>
  </cols>
  <sheetData>
    <row r="1" spans="1:9" ht="18" customHeight="1" x14ac:dyDescent="0.3">
      <c r="A1" s="72" t="s">
        <v>26</v>
      </c>
      <c r="B1" s="72"/>
      <c r="C1" s="72"/>
      <c r="D1" s="72"/>
      <c r="E1" s="72"/>
      <c r="F1" s="72"/>
      <c r="G1" s="72"/>
      <c r="H1" s="72"/>
      <c r="I1" s="72"/>
    </row>
    <row r="2" spans="1:9" ht="15.6" x14ac:dyDescent="0.3">
      <c r="A2" s="64" t="s">
        <v>27</v>
      </c>
      <c r="B2" s="64"/>
      <c r="C2" s="64"/>
      <c r="D2" s="64"/>
      <c r="E2" s="64"/>
      <c r="F2" s="64"/>
      <c r="G2" s="64"/>
      <c r="H2" s="64"/>
      <c r="I2" s="64"/>
    </row>
    <row r="3" spans="1:9" ht="27" customHeight="1" x14ac:dyDescent="0.3">
      <c r="A3" s="16" t="s">
        <v>8</v>
      </c>
      <c r="B3" s="74" t="s">
        <v>12</v>
      </c>
      <c r="C3" s="74"/>
      <c r="D3" s="74"/>
      <c r="E3" s="74"/>
      <c r="F3" s="66"/>
      <c r="G3" s="66"/>
      <c r="H3" s="73"/>
      <c r="I3" s="73"/>
    </row>
    <row r="4" spans="1:9" ht="28.5" customHeight="1" x14ac:dyDescent="0.3">
      <c r="A4" s="16" t="s">
        <v>28</v>
      </c>
      <c r="B4" s="69" t="s">
        <v>29</v>
      </c>
      <c r="C4" s="62"/>
      <c r="D4" s="18" t="s">
        <v>30</v>
      </c>
      <c r="E4" s="45" t="s">
        <v>31</v>
      </c>
      <c r="F4" s="66"/>
      <c r="G4" s="66"/>
      <c r="H4" s="73"/>
      <c r="I4" s="73"/>
    </row>
    <row r="5" spans="1:9" ht="29.25" customHeight="1" x14ac:dyDescent="0.3">
      <c r="A5" s="16" t="s">
        <v>32</v>
      </c>
      <c r="B5" s="62" t="s">
        <v>18</v>
      </c>
      <c r="C5" s="62"/>
      <c r="D5" s="18" t="s">
        <v>33</v>
      </c>
      <c r="E5" s="46" t="s">
        <v>31</v>
      </c>
      <c r="F5" s="66"/>
      <c r="G5" s="66"/>
      <c r="H5" s="17" t="s">
        <v>9</v>
      </c>
      <c r="I5" s="19">
        <v>46281</v>
      </c>
    </row>
    <row r="6" spans="1:9" ht="15.6" x14ac:dyDescent="0.3">
      <c r="A6" s="60" t="s">
        <v>34</v>
      </c>
      <c r="B6" s="60"/>
      <c r="C6" s="60"/>
      <c r="D6" s="60"/>
      <c r="E6" s="60"/>
      <c r="F6" s="60"/>
      <c r="G6" s="60"/>
      <c r="H6" s="60"/>
      <c r="I6" s="60"/>
    </row>
    <row r="7" spans="1:9" ht="39.75" customHeight="1" x14ac:dyDescent="0.3">
      <c r="A7" s="61" t="s">
        <v>35</v>
      </c>
      <c r="B7" s="62"/>
      <c r="C7" s="62"/>
      <c r="D7" s="62"/>
      <c r="E7" s="62"/>
      <c r="F7" s="62"/>
      <c r="G7" s="62"/>
      <c r="H7" s="62"/>
      <c r="I7" s="62"/>
    </row>
    <row r="8" spans="1:9" ht="15.6" x14ac:dyDescent="0.3">
      <c r="A8" s="63" t="s">
        <v>36</v>
      </c>
      <c r="B8" s="64"/>
      <c r="C8" s="64"/>
      <c r="D8" s="64"/>
      <c r="E8" s="64"/>
      <c r="F8" s="64"/>
      <c r="G8" s="64"/>
      <c r="H8" s="64"/>
      <c r="I8" s="64"/>
    </row>
    <row r="9" spans="1:9" ht="244.5" customHeight="1" x14ac:dyDescent="0.3">
      <c r="A9" s="65" t="s">
        <v>37</v>
      </c>
      <c r="B9" s="66"/>
      <c r="C9" s="66"/>
      <c r="D9" s="66"/>
      <c r="E9" s="66"/>
      <c r="F9" s="66"/>
      <c r="G9" s="66"/>
      <c r="H9" s="66"/>
      <c r="I9" s="66"/>
    </row>
    <row r="10" spans="1:9" ht="26.25" customHeight="1" x14ac:dyDescent="0.3">
      <c r="A10" s="63" t="s">
        <v>38</v>
      </c>
      <c r="B10" s="64"/>
      <c r="C10" s="64"/>
      <c r="D10" s="64"/>
      <c r="E10" s="64"/>
      <c r="F10" s="64"/>
      <c r="G10" s="64"/>
      <c r="H10" s="64"/>
      <c r="I10" s="64"/>
    </row>
    <row r="11" spans="1:9" ht="53.25" customHeight="1" x14ac:dyDescent="0.3">
      <c r="A11" s="61" t="s">
        <v>39</v>
      </c>
      <c r="B11" s="62"/>
      <c r="C11" s="62"/>
      <c r="D11" s="62"/>
      <c r="E11" s="62"/>
      <c r="F11" s="62"/>
      <c r="G11" s="62"/>
      <c r="H11" s="62"/>
      <c r="I11" s="62"/>
    </row>
    <row r="12" spans="1:9" ht="15.6" x14ac:dyDescent="0.3">
      <c r="A12" s="63" t="s">
        <v>40</v>
      </c>
      <c r="B12" s="64"/>
      <c r="C12" s="64"/>
      <c r="D12" s="64"/>
      <c r="E12" s="64"/>
      <c r="F12" s="64"/>
      <c r="G12" s="64"/>
      <c r="H12" s="64"/>
      <c r="I12" s="64"/>
    </row>
    <row r="13" spans="1:9" ht="96" customHeight="1" x14ac:dyDescent="0.3">
      <c r="A13" s="65" t="s">
        <v>41</v>
      </c>
      <c r="B13" s="66"/>
      <c r="C13" s="66"/>
      <c r="D13" s="66"/>
      <c r="E13" s="66"/>
      <c r="F13" s="66"/>
      <c r="G13" s="66"/>
      <c r="H13" s="66"/>
      <c r="I13" s="66"/>
    </row>
    <row r="14" spans="1:9" ht="15.6" x14ac:dyDescent="0.3">
      <c r="A14" s="67" t="s">
        <v>42</v>
      </c>
      <c r="B14" s="64"/>
      <c r="C14" s="64"/>
      <c r="D14" s="64"/>
      <c r="E14" s="64"/>
      <c r="F14" s="64"/>
      <c r="G14" s="64"/>
      <c r="H14" s="64"/>
      <c r="I14" s="64"/>
    </row>
    <row r="15" spans="1:9" ht="75.75" customHeight="1" x14ac:dyDescent="0.3">
      <c r="A15" s="65" t="s">
        <v>43</v>
      </c>
      <c r="B15" s="62"/>
      <c r="C15" s="62"/>
      <c r="D15" s="62"/>
      <c r="E15" s="62"/>
      <c r="F15" s="62"/>
      <c r="G15" s="62"/>
      <c r="H15" s="62"/>
      <c r="I15" s="62"/>
    </row>
    <row r="16" spans="1:9" ht="15.6" x14ac:dyDescent="0.3">
      <c r="A16" s="67" t="s">
        <v>44</v>
      </c>
      <c r="B16" s="64"/>
      <c r="C16" s="64"/>
      <c r="D16" s="64"/>
      <c r="E16" s="64"/>
      <c r="F16" s="64"/>
      <c r="G16" s="64"/>
      <c r="H16" s="64"/>
      <c r="I16" s="64"/>
    </row>
    <row r="17" spans="1:9" ht="99.75" customHeight="1" x14ac:dyDescent="0.3">
      <c r="A17" s="61" t="s">
        <v>45</v>
      </c>
      <c r="B17" s="62"/>
      <c r="C17" s="62"/>
      <c r="D17" s="62"/>
      <c r="E17" s="62"/>
      <c r="F17" s="62"/>
      <c r="G17" s="62"/>
      <c r="H17" s="62"/>
      <c r="I17" s="62"/>
    </row>
    <row r="18" spans="1:9" s="13" customFormat="1" ht="15.6" x14ac:dyDescent="0.3">
      <c r="A18" s="70" t="s">
        <v>46</v>
      </c>
      <c r="B18" s="71"/>
      <c r="C18" s="71"/>
      <c r="D18" s="71"/>
      <c r="E18" s="71"/>
      <c r="F18" s="71"/>
      <c r="G18" s="71"/>
      <c r="H18" s="71"/>
      <c r="I18" s="71"/>
    </row>
    <row r="19" spans="1:9" s="13" customFormat="1" ht="29.1" customHeight="1" x14ac:dyDescent="0.25">
      <c r="A19" s="61" t="s">
        <v>47</v>
      </c>
      <c r="B19" s="62"/>
      <c r="C19" s="62"/>
      <c r="D19" s="62"/>
      <c r="E19" s="62"/>
      <c r="F19" s="62"/>
      <c r="G19" s="62"/>
      <c r="H19" s="62"/>
      <c r="I19" s="62"/>
    </row>
    <row r="20" spans="1:9" ht="15.6" x14ac:dyDescent="0.3">
      <c r="A20" s="63" t="s">
        <v>48</v>
      </c>
      <c r="B20" s="64"/>
      <c r="C20" s="64"/>
      <c r="D20" s="64"/>
      <c r="E20" s="64"/>
      <c r="F20" s="64"/>
      <c r="G20" s="64"/>
      <c r="H20" s="64"/>
      <c r="I20" s="64"/>
    </row>
    <row r="21" spans="1:9" ht="30" customHeight="1" x14ac:dyDescent="0.3">
      <c r="A21" s="68" t="s">
        <v>49</v>
      </c>
      <c r="B21" s="69"/>
      <c r="C21" s="69"/>
      <c r="D21" s="69"/>
      <c r="E21" s="69"/>
      <c r="F21" s="69"/>
      <c r="G21" s="69"/>
      <c r="H21" s="69"/>
      <c r="I21" s="69"/>
    </row>
    <row r="22" spans="1:9" ht="20.55" customHeight="1" x14ac:dyDescent="0.3">
      <c r="A22" s="63" t="s">
        <v>50</v>
      </c>
      <c r="B22" s="64"/>
      <c r="C22" s="64"/>
      <c r="D22" s="64"/>
      <c r="E22" s="64"/>
      <c r="F22" s="64"/>
      <c r="G22" s="64"/>
      <c r="H22" s="64"/>
      <c r="I22" s="64"/>
    </row>
    <row r="23" spans="1:9" ht="153.44999999999999" customHeight="1" x14ac:dyDescent="0.3">
      <c r="A23" s="59" t="s">
        <v>51</v>
      </c>
      <c r="B23" s="59"/>
      <c r="C23" s="59"/>
      <c r="D23" s="59"/>
      <c r="E23" s="59"/>
      <c r="F23" s="59"/>
      <c r="G23" s="59"/>
      <c r="H23" s="59"/>
      <c r="I23" s="59"/>
    </row>
    <row r="25" spans="1:9" ht="15" hidden="1" customHeight="1" x14ac:dyDescent="0.3"/>
  </sheetData>
  <mergeCells count="25">
    <mergeCell ref="A18:I18"/>
    <mergeCell ref="A19:I19"/>
    <mergeCell ref="A1:I1"/>
    <mergeCell ref="A2:I2"/>
    <mergeCell ref="F3:G5"/>
    <mergeCell ref="H3:I4"/>
    <mergeCell ref="B4:C4"/>
    <mergeCell ref="B5:C5"/>
    <mergeCell ref="B3:E3"/>
    <mergeCell ref="A23:I23"/>
    <mergeCell ref="A6:I6"/>
    <mergeCell ref="A7:I7"/>
    <mergeCell ref="A10:I10"/>
    <mergeCell ref="A11:I11"/>
    <mergeCell ref="A12:I12"/>
    <mergeCell ref="A22:I22"/>
    <mergeCell ref="A8:I8"/>
    <mergeCell ref="A9:I9"/>
    <mergeCell ref="A14:I14"/>
    <mergeCell ref="A15:I15"/>
    <mergeCell ref="A16:I16"/>
    <mergeCell ref="A17:I17"/>
    <mergeCell ref="A20:I20"/>
    <mergeCell ref="A21:I21"/>
    <mergeCell ref="A13:I13"/>
  </mergeCells>
  <pageMargins left="0.70866141732283472" right="0.70866141732283472" top="1.7322834645669292" bottom="0.62992125984251968" header="0.31496062992125984" footer="0.31496062992125984"/>
  <pageSetup paperSize="9" scale="66" fitToHeight="0" orientation="portrait" r:id="rId1"/>
  <headerFooter>
    <oddHeader xml:space="preserve">&amp;L&amp;G&amp;R&amp;12ProVu Vista Display
Integration Test Request-01 (Software)
       Document ID/Version: GTD-001224/A
  Date: 16-09-2026
</oddHeader>
    <oddFooter>&amp;L&amp;12GOP 004, Design and Development 
GOP004-F14 Issue No: 2&amp;R&amp;12&amp;P of &amp;N</oddFooter>
  </headerFooter>
  <colBreaks count="1" manualBreakCount="1">
    <brk id="9" max="20"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522A1-FA0A-4868-941A-0EA0C7F1B4C8}">
  <sheetPr>
    <pageSetUpPr fitToPage="1"/>
  </sheetPr>
  <dimension ref="A1:D162"/>
  <sheetViews>
    <sheetView view="pageBreakPreview" zoomScaleNormal="70" zoomScaleSheetLayoutView="100" zoomScalePageLayoutView="55" workbookViewId="0">
      <selection activeCell="A44" sqref="A44:D44"/>
    </sheetView>
  </sheetViews>
  <sheetFormatPr defaultColWidth="8.77734375" defaultRowHeight="15" x14ac:dyDescent="0.25"/>
  <cols>
    <col min="1" max="1" width="10.5546875" style="15" customWidth="1"/>
    <col min="2" max="2" width="45.77734375" style="1" customWidth="1"/>
    <col min="3" max="4" width="43.77734375" style="1" customWidth="1"/>
    <col min="5" max="16384" width="8.77734375" style="1"/>
  </cols>
  <sheetData>
    <row r="1" spans="1:4" ht="15.6" x14ac:dyDescent="0.25">
      <c r="A1" s="77" t="str">
        <f>'About '!A1</f>
        <v xml:space="preserve"> GTD-001224:  Software Integration Test Request-01</v>
      </c>
      <c r="B1" s="77"/>
      <c r="C1" s="77"/>
      <c r="D1" s="77"/>
    </row>
    <row r="2" spans="1:4" ht="37.5" customHeight="1" x14ac:dyDescent="0.25">
      <c r="A2" s="39" t="s">
        <v>52</v>
      </c>
      <c r="B2" s="40" t="s">
        <v>53</v>
      </c>
      <c r="C2" s="40" t="s">
        <v>54</v>
      </c>
      <c r="D2" s="40" t="s">
        <v>55</v>
      </c>
    </row>
    <row r="3" spans="1:4" ht="15.6" x14ac:dyDescent="0.25">
      <c r="A3" s="76" t="s">
        <v>56</v>
      </c>
      <c r="B3" s="76"/>
      <c r="C3" s="76"/>
      <c r="D3" s="76"/>
    </row>
    <row r="4" spans="1:4" ht="95.55" customHeight="1" x14ac:dyDescent="0.25">
      <c r="A4" s="41">
        <v>10</v>
      </c>
      <c r="B4" s="21" t="s">
        <v>57</v>
      </c>
      <c r="C4" s="21" t="s">
        <v>58</v>
      </c>
      <c r="D4" s="21" t="s">
        <v>58</v>
      </c>
    </row>
    <row r="5" spans="1:4" x14ac:dyDescent="0.25">
      <c r="A5" s="41">
        <v>20</v>
      </c>
      <c r="B5" s="21" t="s">
        <v>59</v>
      </c>
      <c r="C5" s="21" t="s">
        <v>58</v>
      </c>
      <c r="D5" s="21" t="s">
        <v>58</v>
      </c>
    </row>
    <row r="6" spans="1:4" ht="130.5" customHeight="1" x14ac:dyDescent="0.25">
      <c r="A6" s="41">
        <v>30</v>
      </c>
      <c r="B6" s="21" t="s">
        <v>60</v>
      </c>
      <c r="C6" s="21" t="s">
        <v>61</v>
      </c>
      <c r="D6" s="21" t="s">
        <v>62</v>
      </c>
    </row>
    <row r="7" spans="1:4" ht="95.1" customHeight="1" x14ac:dyDescent="0.25">
      <c r="A7" s="41">
        <v>40</v>
      </c>
      <c r="B7" s="21" t="s">
        <v>63</v>
      </c>
      <c r="C7" s="21" t="s">
        <v>64</v>
      </c>
      <c r="D7" s="21" t="s">
        <v>65</v>
      </c>
    </row>
    <row r="8" spans="1:4" ht="50.55" customHeight="1" x14ac:dyDescent="0.25">
      <c r="A8" s="78" t="s">
        <v>66</v>
      </c>
      <c r="B8" s="76"/>
      <c r="C8" s="76"/>
      <c r="D8" s="76"/>
    </row>
    <row r="9" spans="1:4" ht="130.5" customHeight="1" x14ac:dyDescent="0.25">
      <c r="A9" s="41">
        <v>50</v>
      </c>
      <c r="B9" s="21" t="s">
        <v>67</v>
      </c>
      <c r="C9" s="21" t="s">
        <v>68</v>
      </c>
      <c r="D9" s="21" t="s">
        <v>69</v>
      </c>
    </row>
    <row r="10" spans="1:4" ht="235.5" customHeight="1" x14ac:dyDescent="0.25">
      <c r="A10" s="41">
        <v>60</v>
      </c>
      <c r="B10" s="21" t="s">
        <v>70</v>
      </c>
      <c r="C10" s="21" t="s">
        <v>71</v>
      </c>
      <c r="D10" s="21" t="s">
        <v>72</v>
      </c>
    </row>
    <row r="11" spans="1:4" ht="27" customHeight="1" x14ac:dyDescent="0.25">
      <c r="A11" s="41">
        <v>70</v>
      </c>
      <c r="B11" s="21" t="s">
        <v>73</v>
      </c>
      <c r="C11" s="21" t="s">
        <v>58</v>
      </c>
      <c r="D11" s="21" t="s">
        <v>0</v>
      </c>
    </row>
    <row r="12" spans="1:4" ht="103.5" customHeight="1" x14ac:dyDescent="0.25">
      <c r="A12" s="41">
        <v>80</v>
      </c>
      <c r="B12" s="21" t="s">
        <v>74</v>
      </c>
      <c r="C12" s="21" t="s">
        <v>75</v>
      </c>
      <c r="D12" s="21" t="s">
        <v>69</v>
      </c>
    </row>
    <row r="13" spans="1:4" ht="234" customHeight="1" x14ac:dyDescent="0.25">
      <c r="A13" s="41">
        <v>90</v>
      </c>
      <c r="B13" s="21" t="s">
        <v>76</v>
      </c>
      <c r="C13" s="21" t="s">
        <v>77</v>
      </c>
      <c r="D13" s="21" t="s">
        <v>78</v>
      </c>
    </row>
    <row r="14" spans="1:4" ht="24" customHeight="1" x14ac:dyDescent="0.25">
      <c r="A14" s="41">
        <v>100</v>
      </c>
      <c r="B14" s="21" t="s">
        <v>79</v>
      </c>
      <c r="C14" s="21" t="s">
        <v>58</v>
      </c>
      <c r="D14" s="21" t="s">
        <v>58</v>
      </c>
    </row>
    <row r="15" spans="1:4" ht="267" customHeight="1" x14ac:dyDescent="0.25">
      <c r="A15" s="41">
        <v>110</v>
      </c>
      <c r="B15" s="21" t="s">
        <v>80</v>
      </c>
      <c r="C15" s="21" t="s">
        <v>81</v>
      </c>
      <c r="D15" s="21" t="s">
        <v>82</v>
      </c>
    </row>
    <row r="16" spans="1:4" x14ac:dyDescent="0.25">
      <c r="A16" s="41">
        <v>120</v>
      </c>
      <c r="B16" s="21" t="s">
        <v>83</v>
      </c>
      <c r="C16" s="21" t="s">
        <v>58</v>
      </c>
      <c r="D16" s="21" t="s">
        <v>58</v>
      </c>
    </row>
    <row r="17" spans="1:4" ht="230.25" customHeight="1" x14ac:dyDescent="0.25">
      <c r="A17" s="41">
        <v>130</v>
      </c>
      <c r="B17" s="21" t="s">
        <v>84</v>
      </c>
      <c r="C17" s="21" t="s">
        <v>85</v>
      </c>
      <c r="D17" s="21" t="s">
        <v>86</v>
      </c>
    </row>
    <row r="18" spans="1:4" x14ac:dyDescent="0.25">
      <c r="A18" s="41">
        <v>140</v>
      </c>
      <c r="B18" s="21" t="s">
        <v>87</v>
      </c>
      <c r="C18" s="21" t="s">
        <v>58</v>
      </c>
      <c r="D18" s="21" t="s">
        <v>58</v>
      </c>
    </row>
    <row r="19" spans="1:4" ht="110.25" customHeight="1" x14ac:dyDescent="0.25">
      <c r="A19" s="41">
        <v>150</v>
      </c>
      <c r="B19" s="21" t="s">
        <v>88</v>
      </c>
      <c r="C19" s="21" t="s">
        <v>89</v>
      </c>
      <c r="D19" s="21" t="s">
        <v>90</v>
      </c>
    </row>
    <row r="20" spans="1:4" ht="144.75" customHeight="1" x14ac:dyDescent="0.25">
      <c r="A20" s="41">
        <v>160</v>
      </c>
      <c r="B20" s="21" t="s">
        <v>91</v>
      </c>
      <c r="C20" s="21" t="s">
        <v>92</v>
      </c>
      <c r="D20" s="21" t="s">
        <v>93</v>
      </c>
    </row>
    <row r="21" spans="1:4" x14ac:dyDescent="0.25">
      <c r="A21" s="41">
        <v>170</v>
      </c>
      <c r="B21" s="21" t="s">
        <v>94</v>
      </c>
      <c r="C21" s="21" t="s">
        <v>58</v>
      </c>
      <c r="D21" s="21" t="s">
        <v>58</v>
      </c>
    </row>
    <row r="22" spans="1:4" ht="108" customHeight="1" x14ac:dyDescent="0.25">
      <c r="A22" s="41">
        <v>180</v>
      </c>
      <c r="B22" s="21" t="s">
        <v>95</v>
      </c>
      <c r="C22" s="21" t="s">
        <v>96</v>
      </c>
      <c r="D22" s="21" t="s">
        <v>97</v>
      </c>
    </row>
    <row r="23" spans="1:4" ht="170.25" customHeight="1" x14ac:dyDescent="0.25">
      <c r="A23" s="41">
        <v>190</v>
      </c>
      <c r="B23" s="21" t="s">
        <v>98</v>
      </c>
      <c r="C23" s="21" t="s">
        <v>92</v>
      </c>
      <c r="D23" s="21" t="s">
        <v>93</v>
      </c>
    </row>
    <row r="24" spans="1:4" x14ac:dyDescent="0.25">
      <c r="A24" s="41">
        <v>200</v>
      </c>
      <c r="B24" s="21" t="s">
        <v>99</v>
      </c>
      <c r="C24" s="21" t="s">
        <v>58</v>
      </c>
      <c r="D24" s="21" t="s">
        <v>58</v>
      </c>
    </row>
    <row r="25" spans="1:4" ht="93" customHeight="1" x14ac:dyDescent="0.25">
      <c r="A25" s="41">
        <v>210</v>
      </c>
      <c r="B25" s="21" t="s">
        <v>100</v>
      </c>
      <c r="C25" s="21" t="s">
        <v>101</v>
      </c>
      <c r="D25" s="21" t="s">
        <v>102</v>
      </c>
    </row>
    <row r="26" spans="1:4" ht="243" customHeight="1" x14ac:dyDescent="0.25">
      <c r="A26" s="41">
        <v>220</v>
      </c>
      <c r="B26" s="21" t="s">
        <v>103</v>
      </c>
      <c r="C26" s="21" t="s">
        <v>104</v>
      </c>
      <c r="D26" s="21" t="s">
        <v>105</v>
      </c>
    </row>
    <row r="27" spans="1:4" ht="27" customHeight="1" x14ac:dyDescent="0.25">
      <c r="A27" s="41">
        <v>230</v>
      </c>
      <c r="B27" s="21" t="s">
        <v>106</v>
      </c>
      <c r="C27" s="21" t="s">
        <v>58</v>
      </c>
      <c r="D27" s="21" t="s">
        <v>58</v>
      </c>
    </row>
    <row r="28" spans="1:4" ht="168" customHeight="1" x14ac:dyDescent="0.25">
      <c r="A28" s="41">
        <v>240</v>
      </c>
      <c r="B28" s="21" t="s">
        <v>107</v>
      </c>
      <c r="C28" s="21" t="s">
        <v>108</v>
      </c>
      <c r="D28" s="21" t="s">
        <v>109</v>
      </c>
    </row>
    <row r="29" spans="1:4" ht="30" customHeight="1" x14ac:dyDescent="0.25">
      <c r="A29" s="41">
        <v>250</v>
      </c>
      <c r="B29" s="21" t="s">
        <v>106</v>
      </c>
      <c r="C29" s="21" t="s">
        <v>58</v>
      </c>
      <c r="D29" s="21" t="s">
        <v>58</v>
      </c>
    </row>
    <row r="30" spans="1:4" ht="42.6" customHeight="1" x14ac:dyDescent="0.25">
      <c r="A30" s="78" t="s">
        <v>110</v>
      </c>
      <c r="B30" s="76"/>
      <c r="C30" s="76"/>
      <c r="D30" s="76"/>
    </row>
    <row r="31" spans="1:4" ht="75" customHeight="1" x14ac:dyDescent="0.25">
      <c r="A31" s="41">
        <v>260</v>
      </c>
      <c r="B31" s="21" t="s">
        <v>111</v>
      </c>
      <c r="C31" s="21" t="s">
        <v>112</v>
      </c>
      <c r="D31" s="21" t="s">
        <v>113</v>
      </c>
    </row>
    <row r="32" spans="1:4" ht="60" customHeight="1" x14ac:dyDescent="0.25">
      <c r="A32" s="41">
        <v>270</v>
      </c>
      <c r="B32" s="21" t="s">
        <v>114</v>
      </c>
      <c r="C32" s="21" t="s">
        <v>115</v>
      </c>
      <c r="D32" s="21" t="s">
        <v>116</v>
      </c>
    </row>
    <row r="33" spans="1:4" ht="94.5" customHeight="1" x14ac:dyDescent="0.25">
      <c r="A33" s="41">
        <v>280</v>
      </c>
      <c r="B33" s="21" t="s">
        <v>117</v>
      </c>
      <c r="C33" s="21" t="s">
        <v>118</v>
      </c>
      <c r="D33" s="21" t="s">
        <v>119</v>
      </c>
    </row>
    <row r="34" spans="1:4" ht="57.6" x14ac:dyDescent="0.25">
      <c r="A34" s="41">
        <v>290</v>
      </c>
      <c r="B34" s="21" t="s">
        <v>120</v>
      </c>
      <c r="C34" s="21" t="s">
        <v>121</v>
      </c>
      <c r="D34" s="21" t="s">
        <v>122</v>
      </c>
    </row>
    <row r="35" spans="1:4" ht="98.25" customHeight="1" x14ac:dyDescent="0.25">
      <c r="A35" s="41">
        <v>300</v>
      </c>
      <c r="B35" s="21" t="s">
        <v>123</v>
      </c>
      <c r="C35" s="21" t="s">
        <v>124</v>
      </c>
      <c r="D35" s="21" t="s">
        <v>125</v>
      </c>
    </row>
    <row r="36" spans="1:4" ht="75.75" customHeight="1" x14ac:dyDescent="0.25">
      <c r="A36" s="41">
        <v>310</v>
      </c>
      <c r="B36" s="21" t="s">
        <v>126</v>
      </c>
      <c r="C36" s="21" t="s">
        <v>127</v>
      </c>
      <c r="D36" s="21" t="s">
        <v>128</v>
      </c>
    </row>
    <row r="37" spans="1:4" ht="69.75" customHeight="1" x14ac:dyDescent="0.25">
      <c r="A37" s="41">
        <v>320</v>
      </c>
      <c r="B37" s="21" t="s">
        <v>129</v>
      </c>
      <c r="C37" s="21" t="s">
        <v>130</v>
      </c>
      <c r="D37" s="21" t="s">
        <v>131</v>
      </c>
    </row>
    <row r="38" spans="1:4" ht="76.5" customHeight="1" x14ac:dyDescent="0.25">
      <c r="A38" s="41">
        <v>330</v>
      </c>
      <c r="B38" s="21" t="s">
        <v>132</v>
      </c>
      <c r="C38" s="21" t="s">
        <v>133</v>
      </c>
      <c r="D38" s="21" t="s">
        <v>134</v>
      </c>
    </row>
    <row r="39" spans="1:4" ht="95.25" customHeight="1" x14ac:dyDescent="0.25">
      <c r="A39" s="41">
        <v>340</v>
      </c>
      <c r="B39" s="21" t="s">
        <v>135</v>
      </c>
      <c r="C39" s="21" t="s">
        <v>136</v>
      </c>
      <c r="D39" s="21" t="s">
        <v>137</v>
      </c>
    </row>
    <row r="40" spans="1:4" ht="109.5" customHeight="1" x14ac:dyDescent="0.25">
      <c r="A40" s="41">
        <v>350</v>
      </c>
      <c r="B40" s="21" t="s">
        <v>138</v>
      </c>
      <c r="C40" s="21" t="s">
        <v>139</v>
      </c>
      <c r="D40" s="21" t="s">
        <v>140</v>
      </c>
    </row>
    <row r="41" spans="1:4" ht="270" customHeight="1" x14ac:dyDescent="0.25">
      <c r="A41" s="41">
        <v>360</v>
      </c>
      <c r="B41" s="21" t="s">
        <v>141</v>
      </c>
      <c r="C41" s="21" t="s">
        <v>142</v>
      </c>
      <c r="D41" s="21" t="s">
        <v>143</v>
      </c>
    </row>
    <row r="42" spans="1:4" ht="243.75" customHeight="1" x14ac:dyDescent="0.25">
      <c r="A42" s="41">
        <v>370</v>
      </c>
      <c r="B42" s="21" t="s">
        <v>144</v>
      </c>
      <c r="C42" s="21" t="s">
        <v>145</v>
      </c>
      <c r="D42" s="21" t="s">
        <v>146</v>
      </c>
    </row>
    <row r="43" spans="1:4" ht="291.75" customHeight="1" x14ac:dyDescent="0.25">
      <c r="A43" s="41">
        <v>380</v>
      </c>
      <c r="B43" s="21" t="s">
        <v>147</v>
      </c>
      <c r="C43" s="21" t="s">
        <v>148</v>
      </c>
      <c r="D43" s="21" t="s">
        <v>149</v>
      </c>
    </row>
    <row r="44" spans="1:4" ht="50.1" customHeight="1" x14ac:dyDescent="0.25">
      <c r="A44" s="78" t="s">
        <v>150</v>
      </c>
      <c r="B44" s="76"/>
      <c r="C44" s="76"/>
      <c r="D44" s="76"/>
    </row>
    <row r="45" spans="1:4" ht="220.5" customHeight="1" x14ac:dyDescent="0.25">
      <c r="A45" s="41">
        <v>390</v>
      </c>
      <c r="B45" s="21" t="s">
        <v>151</v>
      </c>
      <c r="C45" s="21" t="s">
        <v>152</v>
      </c>
      <c r="D45" s="21" t="s">
        <v>153</v>
      </c>
    </row>
    <row r="46" spans="1:4" ht="101.25" customHeight="1" x14ac:dyDescent="0.25">
      <c r="A46" s="41">
        <v>400</v>
      </c>
      <c r="B46" s="21" t="s">
        <v>154</v>
      </c>
      <c r="C46" s="21" t="s">
        <v>155</v>
      </c>
      <c r="D46" s="21" t="s">
        <v>156</v>
      </c>
    </row>
    <row r="47" spans="1:4" ht="129" customHeight="1" x14ac:dyDescent="0.25">
      <c r="A47" s="41">
        <v>410</v>
      </c>
      <c r="B47" s="21" t="s">
        <v>157</v>
      </c>
      <c r="C47" s="21" t="s">
        <v>158</v>
      </c>
      <c r="D47" s="21" t="s">
        <v>159</v>
      </c>
    </row>
    <row r="48" spans="1:4" ht="124.5" customHeight="1" x14ac:dyDescent="0.25">
      <c r="A48" s="41">
        <v>420</v>
      </c>
      <c r="B48" s="21" t="s">
        <v>160</v>
      </c>
      <c r="C48" s="21" t="s">
        <v>161</v>
      </c>
      <c r="D48" s="21" t="s">
        <v>162</v>
      </c>
    </row>
    <row r="49" spans="1:4" ht="216" x14ac:dyDescent="0.25">
      <c r="A49" s="41">
        <v>430</v>
      </c>
      <c r="B49" s="21" t="s">
        <v>163</v>
      </c>
      <c r="C49" s="21" t="s">
        <v>164</v>
      </c>
      <c r="D49" s="21" t="s">
        <v>165</v>
      </c>
    </row>
    <row r="50" spans="1:4" ht="51" customHeight="1" x14ac:dyDescent="0.25">
      <c r="A50" s="75" t="s">
        <v>166</v>
      </c>
      <c r="B50" s="76"/>
      <c r="C50" s="76"/>
      <c r="D50" s="76"/>
    </row>
    <row r="51" spans="1:4" ht="82.5" customHeight="1" x14ac:dyDescent="0.25">
      <c r="A51" s="41">
        <v>440</v>
      </c>
      <c r="B51" s="21" t="s">
        <v>167</v>
      </c>
      <c r="C51" s="21" t="s">
        <v>168</v>
      </c>
      <c r="D51" s="21" t="s">
        <v>169</v>
      </c>
    </row>
    <row r="52" spans="1:4" ht="113.55" customHeight="1" x14ac:dyDescent="0.25">
      <c r="A52" s="41">
        <v>450</v>
      </c>
      <c r="B52" s="21" t="s">
        <v>170</v>
      </c>
      <c r="C52" s="21" t="s">
        <v>171</v>
      </c>
      <c r="D52" s="21" t="s">
        <v>172</v>
      </c>
    </row>
    <row r="53" spans="1:4" ht="139.5" customHeight="1" x14ac:dyDescent="0.25">
      <c r="A53" s="41">
        <v>460</v>
      </c>
      <c r="B53" s="21" t="s">
        <v>173</v>
      </c>
      <c r="C53" s="21" t="s">
        <v>174</v>
      </c>
      <c r="D53" s="21" t="s">
        <v>175</v>
      </c>
    </row>
    <row r="54" spans="1:4" ht="93.75" customHeight="1" x14ac:dyDescent="0.25">
      <c r="A54" s="41">
        <v>470</v>
      </c>
      <c r="B54" s="21" t="s">
        <v>176</v>
      </c>
      <c r="C54" s="21" t="s">
        <v>177</v>
      </c>
      <c r="D54" s="21" t="s">
        <v>178</v>
      </c>
    </row>
    <row r="55" spans="1:4" ht="162" customHeight="1" x14ac:dyDescent="0.25">
      <c r="A55" s="41">
        <v>480</v>
      </c>
      <c r="B55" s="21" t="s">
        <v>179</v>
      </c>
      <c r="C55" s="21" t="s">
        <v>180</v>
      </c>
      <c r="D55" s="21" t="s">
        <v>181</v>
      </c>
    </row>
    <row r="56" spans="1:4" ht="198.75" customHeight="1" x14ac:dyDescent="0.25">
      <c r="A56" s="41">
        <v>490</v>
      </c>
      <c r="B56" s="21" t="s">
        <v>182</v>
      </c>
      <c r="C56" s="21" t="s">
        <v>183</v>
      </c>
      <c r="D56" s="21" t="s">
        <v>184</v>
      </c>
    </row>
    <row r="57" spans="1:4" ht="114.75" customHeight="1" x14ac:dyDescent="0.25">
      <c r="A57" s="41">
        <v>500</v>
      </c>
      <c r="B57" s="21" t="s">
        <v>185</v>
      </c>
      <c r="C57" s="21" t="s">
        <v>186</v>
      </c>
      <c r="D57" s="21" t="s">
        <v>187</v>
      </c>
    </row>
    <row r="58" spans="1:4" ht="130.5" customHeight="1" x14ac:dyDescent="0.25">
      <c r="A58" s="41">
        <v>510</v>
      </c>
      <c r="B58" s="21" t="s">
        <v>188</v>
      </c>
      <c r="C58" s="21" t="s">
        <v>189</v>
      </c>
      <c r="D58" s="21" t="s">
        <v>190</v>
      </c>
    </row>
    <row r="59" spans="1:4" ht="218.25" customHeight="1" x14ac:dyDescent="0.25">
      <c r="A59" s="41">
        <v>520</v>
      </c>
      <c r="B59" s="21" t="s">
        <v>191</v>
      </c>
      <c r="C59" s="21" t="s">
        <v>192</v>
      </c>
      <c r="D59" s="21" t="s">
        <v>193</v>
      </c>
    </row>
    <row r="60" spans="1:4" ht="59.25" customHeight="1" x14ac:dyDescent="0.25">
      <c r="A60" s="41">
        <v>530</v>
      </c>
      <c r="B60" s="21" t="s">
        <v>185</v>
      </c>
      <c r="C60" s="21" t="s">
        <v>194</v>
      </c>
      <c r="D60" s="21" t="s">
        <v>195</v>
      </c>
    </row>
    <row r="61" spans="1:4" ht="56.25" customHeight="1" x14ac:dyDescent="0.25">
      <c r="A61" s="75" t="s">
        <v>196</v>
      </c>
      <c r="B61" s="76"/>
      <c r="C61" s="76"/>
      <c r="D61" s="76"/>
    </row>
    <row r="62" spans="1:4" ht="57.75" customHeight="1" x14ac:dyDescent="0.25">
      <c r="A62" s="42">
        <v>540</v>
      </c>
      <c r="B62" s="21" t="s">
        <v>197</v>
      </c>
      <c r="C62" s="21" t="s">
        <v>198</v>
      </c>
      <c r="D62" s="21" t="s">
        <v>199</v>
      </c>
    </row>
    <row r="63" spans="1:4" ht="57" customHeight="1" x14ac:dyDescent="0.25">
      <c r="A63" s="42">
        <v>550</v>
      </c>
      <c r="B63" s="21" t="s">
        <v>200</v>
      </c>
      <c r="C63" s="21" t="s">
        <v>201</v>
      </c>
      <c r="D63" s="21" t="s">
        <v>202</v>
      </c>
    </row>
    <row r="64" spans="1:4" ht="45" customHeight="1" x14ac:dyDescent="0.25">
      <c r="A64" s="42">
        <v>560</v>
      </c>
      <c r="B64" s="21" t="s">
        <v>203</v>
      </c>
      <c r="C64" s="21" t="s">
        <v>204</v>
      </c>
      <c r="D64" s="21" t="s">
        <v>205</v>
      </c>
    </row>
    <row r="65" spans="1:4" ht="43.2" x14ac:dyDescent="0.25">
      <c r="A65" s="42">
        <v>570</v>
      </c>
      <c r="B65" s="21" t="s">
        <v>206</v>
      </c>
      <c r="C65" s="21" t="s">
        <v>207</v>
      </c>
      <c r="D65" s="21" t="s">
        <v>208</v>
      </c>
    </row>
    <row r="66" spans="1:4" ht="53.25" customHeight="1" x14ac:dyDescent="0.25">
      <c r="A66" s="42">
        <v>580</v>
      </c>
      <c r="B66" s="21" t="s">
        <v>209</v>
      </c>
      <c r="C66" s="21" t="s">
        <v>210</v>
      </c>
      <c r="D66" s="21" t="s">
        <v>211</v>
      </c>
    </row>
    <row r="67" spans="1:4" ht="52.5" customHeight="1" x14ac:dyDescent="0.25">
      <c r="A67" s="75" t="s">
        <v>212</v>
      </c>
      <c r="B67" s="76"/>
      <c r="C67" s="76"/>
      <c r="D67" s="76"/>
    </row>
    <row r="68" spans="1:4" ht="96.75" customHeight="1" x14ac:dyDescent="0.25">
      <c r="A68" s="42">
        <v>590</v>
      </c>
      <c r="B68" s="21" t="s">
        <v>213</v>
      </c>
      <c r="C68" s="21" t="s">
        <v>58</v>
      </c>
      <c r="D68" s="21" t="s">
        <v>58</v>
      </c>
    </row>
    <row r="69" spans="1:4" ht="60.75" customHeight="1" x14ac:dyDescent="0.25">
      <c r="A69" s="42">
        <v>600</v>
      </c>
      <c r="B69" s="21" t="s">
        <v>214</v>
      </c>
      <c r="C69" s="21" t="s">
        <v>215</v>
      </c>
      <c r="D69" s="21" t="s">
        <v>216</v>
      </c>
    </row>
    <row r="70" spans="1:4" ht="99.75" customHeight="1" x14ac:dyDescent="0.25">
      <c r="A70" s="42">
        <v>610</v>
      </c>
      <c r="B70" s="21" t="s">
        <v>217</v>
      </c>
      <c r="C70" s="21" t="s">
        <v>218</v>
      </c>
      <c r="D70" s="21" t="s">
        <v>219</v>
      </c>
    </row>
    <row r="71" spans="1:4" ht="51.75" customHeight="1" x14ac:dyDescent="0.25">
      <c r="A71" s="42">
        <v>620</v>
      </c>
      <c r="B71" s="21" t="s">
        <v>220</v>
      </c>
      <c r="C71" s="21" t="s">
        <v>221</v>
      </c>
      <c r="D71" s="21" t="s">
        <v>222</v>
      </c>
    </row>
    <row r="72" spans="1:4" ht="88.5" customHeight="1" x14ac:dyDescent="0.25">
      <c r="A72" s="42">
        <v>630</v>
      </c>
      <c r="B72" s="21" t="s">
        <v>223</v>
      </c>
      <c r="C72" s="21" t="s">
        <v>224</v>
      </c>
      <c r="D72" s="21" t="s">
        <v>225</v>
      </c>
    </row>
    <row r="73" spans="1:4" ht="83.25" customHeight="1" x14ac:dyDescent="0.25">
      <c r="A73" s="42">
        <v>640</v>
      </c>
      <c r="B73" s="21" t="s">
        <v>226</v>
      </c>
      <c r="C73" s="21" t="s">
        <v>227</v>
      </c>
      <c r="D73" s="21" t="s">
        <v>228</v>
      </c>
    </row>
    <row r="74" spans="1:4" ht="56.25" customHeight="1" x14ac:dyDescent="0.25">
      <c r="A74" s="42">
        <v>650</v>
      </c>
      <c r="B74" s="21" t="s">
        <v>229</v>
      </c>
      <c r="C74" s="21" t="s">
        <v>230</v>
      </c>
      <c r="D74" s="21" t="s">
        <v>231</v>
      </c>
    </row>
    <row r="75" spans="1:4" ht="48.75" customHeight="1" x14ac:dyDescent="0.25">
      <c r="A75" s="42">
        <v>660</v>
      </c>
      <c r="B75" s="21" t="s">
        <v>232</v>
      </c>
      <c r="C75" s="21" t="s">
        <v>233</v>
      </c>
      <c r="D75" s="21" t="s">
        <v>234</v>
      </c>
    </row>
    <row r="76" spans="1:4" ht="38.25" customHeight="1" x14ac:dyDescent="0.25">
      <c r="A76" s="75" t="s">
        <v>235</v>
      </c>
      <c r="B76" s="76"/>
      <c r="C76" s="76"/>
      <c r="D76" s="76"/>
    </row>
    <row r="77" spans="1:4" ht="90.75" customHeight="1" x14ac:dyDescent="0.25">
      <c r="A77" s="42">
        <v>670</v>
      </c>
      <c r="B77" s="21" t="s">
        <v>236</v>
      </c>
      <c r="C77" s="21" t="s">
        <v>237</v>
      </c>
      <c r="D77" s="21" t="s">
        <v>238</v>
      </c>
    </row>
    <row r="78" spans="1:4" ht="58.5" customHeight="1" x14ac:dyDescent="0.25">
      <c r="A78" s="42">
        <v>680</v>
      </c>
      <c r="B78" s="21" t="s">
        <v>239</v>
      </c>
      <c r="C78" s="21" t="s">
        <v>240</v>
      </c>
      <c r="D78" s="21" t="s">
        <v>241</v>
      </c>
    </row>
    <row r="79" spans="1:4" ht="64.5" customHeight="1" x14ac:dyDescent="0.25">
      <c r="A79" s="42">
        <v>690</v>
      </c>
      <c r="B79" s="21" t="s">
        <v>242</v>
      </c>
      <c r="C79" s="21" t="s">
        <v>243</v>
      </c>
      <c r="D79" s="21" t="s">
        <v>244</v>
      </c>
    </row>
    <row r="80" spans="1:4" ht="97.5" customHeight="1" x14ac:dyDescent="0.25">
      <c r="A80" s="42">
        <v>700</v>
      </c>
      <c r="B80" s="21" t="s">
        <v>245</v>
      </c>
      <c r="C80" s="21" t="s">
        <v>246</v>
      </c>
      <c r="D80" s="21" t="s">
        <v>247</v>
      </c>
    </row>
    <row r="81" spans="1:4" ht="150.75" customHeight="1" x14ac:dyDescent="0.25">
      <c r="A81" s="42">
        <v>710</v>
      </c>
      <c r="B81" s="21" t="s">
        <v>248</v>
      </c>
      <c r="C81" s="21" t="s">
        <v>249</v>
      </c>
      <c r="D81" s="21" t="s">
        <v>250</v>
      </c>
    </row>
    <row r="82" spans="1:4" ht="53.25" customHeight="1" x14ac:dyDescent="0.25">
      <c r="A82" s="42">
        <v>720</v>
      </c>
      <c r="B82" s="21" t="s">
        <v>251</v>
      </c>
      <c r="C82" s="21" t="s">
        <v>249</v>
      </c>
      <c r="D82" s="21" t="s">
        <v>252</v>
      </c>
    </row>
    <row r="83" spans="1:4" ht="63" customHeight="1" x14ac:dyDescent="0.25">
      <c r="A83" s="42">
        <v>730</v>
      </c>
      <c r="B83" s="21" t="s">
        <v>253</v>
      </c>
      <c r="C83" s="21" t="s">
        <v>249</v>
      </c>
      <c r="D83" s="21" t="s">
        <v>254</v>
      </c>
    </row>
    <row r="84" spans="1:4" ht="75.75" customHeight="1" x14ac:dyDescent="0.25">
      <c r="A84" s="42">
        <v>740</v>
      </c>
      <c r="B84" s="21" t="s">
        <v>255</v>
      </c>
      <c r="C84" s="21" t="s">
        <v>256</v>
      </c>
      <c r="D84" s="21" t="s">
        <v>257</v>
      </c>
    </row>
    <row r="85" spans="1:4" ht="49.5" customHeight="1" x14ac:dyDescent="0.25">
      <c r="A85" s="75" t="s">
        <v>258</v>
      </c>
      <c r="B85" s="76"/>
      <c r="C85" s="76"/>
      <c r="D85" s="76"/>
    </row>
    <row r="86" spans="1:4" ht="53.25" customHeight="1" x14ac:dyDescent="0.25">
      <c r="A86" s="42">
        <v>750</v>
      </c>
      <c r="B86" s="21" t="s">
        <v>259</v>
      </c>
      <c r="C86" s="21" t="s">
        <v>58</v>
      </c>
      <c r="D86" s="21" t="s">
        <v>58</v>
      </c>
    </row>
    <row r="87" spans="1:4" ht="55.5" customHeight="1" x14ac:dyDescent="0.25">
      <c r="A87" s="42">
        <v>760</v>
      </c>
      <c r="B87" s="21" t="s">
        <v>260</v>
      </c>
      <c r="C87" s="21" t="s">
        <v>261</v>
      </c>
      <c r="D87" s="21" t="s">
        <v>262</v>
      </c>
    </row>
    <row r="88" spans="1:4" ht="60.75" customHeight="1" x14ac:dyDescent="0.25">
      <c r="A88" s="42">
        <v>770</v>
      </c>
      <c r="B88" s="21" t="s">
        <v>263</v>
      </c>
      <c r="C88" s="21" t="s">
        <v>264</v>
      </c>
      <c r="D88" s="21" t="s">
        <v>265</v>
      </c>
    </row>
    <row r="89" spans="1:4" ht="49.5" customHeight="1" x14ac:dyDescent="0.25">
      <c r="A89" s="42">
        <v>780</v>
      </c>
      <c r="B89" s="21" t="s">
        <v>266</v>
      </c>
      <c r="C89" s="21" t="s">
        <v>267</v>
      </c>
      <c r="D89" s="21" t="s">
        <v>268</v>
      </c>
    </row>
    <row r="90" spans="1:4" ht="64.5" customHeight="1" x14ac:dyDescent="0.25">
      <c r="A90" s="42">
        <v>790</v>
      </c>
      <c r="B90" s="21" t="s">
        <v>269</v>
      </c>
      <c r="C90" s="21" t="s">
        <v>270</v>
      </c>
      <c r="D90" s="21" t="s">
        <v>271</v>
      </c>
    </row>
    <row r="91" spans="1:4" ht="54.75" customHeight="1" x14ac:dyDescent="0.25">
      <c r="A91" s="75" t="s">
        <v>272</v>
      </c>
      <c r="B91" s="76"/>
      <c r="C91" s="76"/>
      <c r="D91" s="76"/>
    </row>
    <row r="92" spans="1:4" ht="51.75" customHeight="1" x14ac:dyDescent="0.25">
      <c r="A92" s="42">
        <v>800</v>
      </c>
      <c r="B92" s="21" t="s">
        <v>273</v>
      </c>
      <c r="C92" s="21" t="s">
        <v>58</v>
      </c>
      <c r="D92" s="21" t="s">
        <v>58</v>
      </c>
    </row>
    <row r="93" spans="1:4" ht="37.5" customHeight="1" x14ac:dyDescent="0.25">
      <c r="A93" s="42">
        <v>810</v>
      </c>
      <c r="B93" s="21" t="s">
        <v>274</v>
      </c>
      <c r="C93" s="21" t="s">
        <v>275</v>
      </c>
      <c r="D93" s="21" t="s">
        <v>276</v>
      </c>
    </row>
    <row r="94" spans="1:4" ht="45" customHeight="1" x14ac:dyDescent="0.25">
      <c r="A94" s="42">
        <v>820</v>
      </c>
      <c r="B94" s="21" t="s">
        <v>277</v>
      </c>
      <c r="C94" s="21" t="s">
        <v>278</v>
      </c>
      <c r="D94" s="21" t="s">
        <v>279</v>
      </c>
    </row>
    <row r="95" spans="1:4" ht="56.25" customHeight="1" x14ac:dyDescent="0.25">
      <c r="A95" s="42">
        <v>830</v>
      </c>
      <c r="B95" s="21" t="s">
        <v>280</v>
      </c>
      <c r="C95" s="21" t="s">
        <v>281</v>
      </c>
      <c r="D95" s="21" t="s">
        <v>282</v>
      </c>
    </row>
    <row r="96" spans="1:4" ht="48.75" customHeight="1" x14ac:dyDescent="0.25">
      <c r="A96" s="42">
        <v>840</v>
      </c>
      <c r="B96" s="21" t="s">
        <v>283</v>
      </c>
      <c r="C96" s="21" t="s">
        <v>281</v>
      </c>
      <c r="D96" s="21" t="s">
        <v>282</v>
      </c>
    </row>
    <row r="97" spans="1:4" ht="48" customHeight="1" x14ac:dyDescent="0.25">
      <c r="A97" s="42">
        <v>850</v>
      </c>
      <c r="B97" s="21" t="s">
        <v>284</v>
      </c>
      <c r="C97" s="21" t="s">
        <v>285</v>
      </c>
      <c r="D97" s="21" t="s">
        <v>286</v>
      </c>
    </row>
    <row r="98" spans="1:4" ht="33.75" customHeight="1" x14ac:dyDescent="0.25">
      <c r="A98" s="42">
        <v>860</v>
      </c>
      <c r="B98" s="21" t="s">
        <v>287</v>
      </c>
      <c r="C98" s="21" t="s">
        <v>288</v>
      </c>
      <c r="D98" s="21" t="s">
        <v>289</v>
      </c>
    </row>
    <row r="99" spans="1:4" ht="39" customHeight="1" x14ac:dyDescent="0.25">
      <c r="A99" s="42">
        <v>870</v>
      </c>
      <c r="B99" s="21" t="s">
        <v>290</v>
      </c>
      <c r="C99" s="21" t="s">
        <v>291</v>
      </c>
      <c r="D99" s="21" t="s">
        <v>292</v>
      </c>
    </row>
    <row r="100" spans="1:4" ht="42" customHeight="1" x14ac:dyDescent="0.25">
      <c r="A100" s="75" t="s">
        <v>293</v>
      </c>
      <c r="B100" s="76"/>
      <c r="C100" s="76"/>
      <c r="D100" s="76"/>
    </row>
    <row r="101" spans="1:4" ht="43.5" customHeight="1" x14ac:dyDescent="0.25">
      <c r="A101" s="42">
        <v>880</v>
      </c>
      <c r="B101" s="21" t="s">
        <v>273</v>
      </c>
      <c r="C101" s="21" t="s">
        <v>58</v>
      </c>
      <c r="D101" s="21" t="s">
        <v>58</v>
      </c>
    </row>
    <row r="102" spans="1:4" ht="39.75" customHeight="1" x14ac:dyDescent="0.25">
      <c r="A102" s="42">
        <v>890</v>
      </c>
      <c r="B102" s="21" t="s">
        <v>294</v>
      </c>
      <c r="C102" s="21" t="s">
        <v>295</v>
      </c>
      <c r="D102" s="21" t="s">
        <v>296</v>
      </c>
    </row>
    <row r="103" spans="1:4" ht="41.25" customHeight="1" x14ac:dyDescent="0.25">
      <c r="A103" s="42">
        <v>900</v>
      </c>
      <c r="B103" s="21" t="s">
        <v>297</v>
      </c>
      <c r="C103" s="21" t="s">
        <v>58</v>
      </c>
      <c r="D103" s="21" t="s">
        <v>58</v>
      </c>
    </row>
    <row r="104" spans="1:4" ht="193.5" customHeight="1" x14ac:dyDescent="0.25">
      <c r="A104" s="42">
        <v>910</v>
      </c>
      <c r="B104" s="21" t="s">
        <v>298</v>
      </c>
      <c r="C104" s="21" t="s">
        <v>299</v>
      </c>
      <c r="D104" s="21" t="s">
        <v>109</v>
      </c>
    </row>
    <row r="105" spans="1:4" ht="52.5" customHeight="1" x14ac:dyDescent="0.25">
      <c r="A105" s="42">
        <v>920</v>
      </c>
      <c r="B105" s="21" t="s">
        <v>300</v>
      </c>
      <c r="C105" s="21" t="s">
        <v>301</v>
      </c>
      <c r="D105" s="21" t="s">
        <v>302</v>
      </c>
    </row>
    <row r="106" spans="1:4" ht="203.25" customHeight="1" x14ac:dyDescent="0.25">
      <c r="A106" s="42">
        <v>930</v>
      </c>
      <c r="B106" s="21" t="s">
        <v>303</v>
      </c>
      <c r="C106" s="21" t="s">
        <v>304</v>
      </c>
      <c r="D106" s="21" t="s">
        <v>305</v>
      </c>
    </row>
    <row r="107" spans="1:4" ht="52.5" customHeight="1" x14ac:dyDescent="0.25">
      <c r="A107" s="42">
        <v>940</v>
      </c>
      <c r="B107" s="21" t="s">
        <v>306</v>
      </c>
      <c r="C107" s="21" t="s">
        <v>301</v>
      </c>
      <c r="D107" s="21" t="s">
        <v>302</v>
      </c>
    </row>
    <row r="108" spans="1:4" ht="211.5" customHeight="1" x14ac:dyDescent="0.25">
      <c r="A108" s="42">
        <v>950</v>
      </c>
      <c r="B108" s="21" t="s">
        <v>307</v>
      </c>
      <c r="C108" s="21" t="s">
        <v>308</v>
      </c>
      <c r="D108" s="21" t="s">
        <v>309</v>
      </c>
    </row>
    <row r="109" spans="1:4" ht="49.5" customHeight="1" x14ac:dyDescent="0.25">
      <c r="A109" s="42">
        <v>960</v>
      </c>
      <c r="B109" s="21" t="s">
        <v>310</v>
      </c>
      <c r="C109" s="21" t="s">
        <v>301</v>
      </c>
      <c r="D109" s="21" t="s">
        <v>302</v>
      </c>
    </row>
    <row r="110" spans="1:4" ht="45" customHeight="1" x14ac:dyDescent="0.25">
      <c r="A110" s="75" t="s">
        <v>311</v>
      </c>
      <c r="B110" s="76"/>
      <c r="C110" s="76"/>
      <c r="D110" s="76"/>
    </row>
    <row r="111" spans="1:4" ht="304.5" customHeight="1" x14ac:dyDescent="0.25">
      <c r="A111" s="42">
        <v>970</v>
      </c>
      <c r="B111" s="21" t="s">
        <v>312</v>
      </c>
      <c r="C111" s="21" t="s">
        <v>313</v>
      </c>
      <c r="D111" s="21" t="s">
        <v>314</v>
      </c>
    </row>
    <row r="112" spans="1:4" ht="275.25" customHeight="1" x14ac:dyDescent="0.25">
      <c r="A112" s="42">
        <v>980</v>
      </c>
      <c r="B112" s="21" t="s">
        <v>315</v>
      </c>
      <c r="C112" s="21" t="s">
        <v>316</v>
      </c>
      <c r="D112" s="21" t="s">
        <v>317</v>
      </c>
    </row>
    <row r="113" spans="1:4" ht="237.75" customHeight="1" x14ac:dyDescent="0.25">
      <c r="A113" s="42">
        <v>990</v>
      </c>
      <c r="B113" s="21" t="s">
        <v>318</v>
      </c>
      <c r="C113" s="21" t="s">
        <v>319</v>
      </c>
      <c r="D113" s="21" t="s">
        <v>320</v>
      </c>
    </row>
    <row r="114" spans="1:4" ht="269.25" customHeight="1" x14ac:dyDescent="0.25">
      <c r="A114" s="42">
        <v>1000</v>
      </c>
      <c r="B114" s="21" t="s">
        <v>321</v>
      </c>
      <c r="C114" s="21" t="s">
        <v>322</v>
      </c>
      <c r="D114" s="21" t="s">
        <v>323</v>
      </c>
    </row>
    <row r="115" spans="1:4" ht="244.5" customHeight="1" x14ac:dyDescent="0.25">
      <c r="A115" s="42">
        <v>1010</v>
      </c>
      <c r="B115" s="21" t="s">
        <v>324</v>
      </c>
      <c r="C115" s="21" t="s">
        <v>325</v>
      </c>
      <c r="D115" s="21" t="s">
        <v>326</v>
      </c>
    </row>
    <row r="116" spans="1:4" ht="246.75" customHeight="1" x14ac:dyDescent="0.25">
      <c r="A116" s="42">
        <v>1020</v>
      </c>
      <c r="B116" s="21" t="s">
        <v>327</v>
      </c>
      <c r="C116" s="21" t="s">
        <v>328</v>
      </c>
      <c r="D116" s="21" t="s">
        <v>329</v>
      </c>
    </row>
    <row r="117" spans="1:4" ht="224.25" customHeight="1" x14ac:dyDescent="0.25">
      <c r="A117" s="42">
        <v>1030</v>
      </c>
      <c r="B117" s="21" t="s">
        <v>330</v>
      </c>
      <c r="C117" s="21" t="s">
        <v>331</v>
      </c>
      <c r="D117" s="21" t="s">
        <v>332</v>
      </c>
    </row>
    <row r="118" spans="1:4" ht="297" customHeight="1" x14ac:dyDescent="0.25">
      <c r="A118" s="42">
        <v>1040</v>
      </c>
      <c r="B118" s="21" t="s">
        <v>333</v>
      </c>
      <c r="C118" s="21" t="s">
        <v>334</v>
      </c>
      <c r="D118" s="21" t="s">
        <v>335</v>
      </c>
    </row>
    <row r="119" spans="1:4" ht="161.25" customHeight="1" x14ac:dyDescent="0.25">
      <c r="A119" s="42">
        <v>1050</v>
      </c>
      <c r="B119" s="21" t="s">
        <v>336</v>
      </c>
      <c r="C119" s="21" t="s">
        <v>337</v>
      </c>
      <c r="D119" s="21" t="s">
        <v>338</v>
      </c>
    </row>
    <row r="120" spans="1:4" ht="214.5" customHeight="1" x14ac:dyDescent="0.25">
      <c r="A120" s="42">
        <v>1060</v>
      </c>
      <c r="B120" s="21" t="s">
        <v>339</v>
      </c>
      <c r="C120" s="21" t="s">
        <v>340</v>
      </c>
      <c r="D120" s="21" t="s">
        <v>341</v>
      </c>
    </row>
    <row r="121" spans="1:4" ht="163.5" customHeight="1" x14ac:dyDescent="0.25">
      <c r="A121" s="42">
        <v>1070</v>
      </c>
      <c r="B121" s="21" t="s">
        <v>342</v>
      </c>
      <c r="C121" s="21" t="s">
        <v>343</v>
      </c>
      <c r="D121" s="21" t="s">
        <v>344</v>
      </c>
    </row>
    <row r="122" spans="1:4" ht="190.5" customHeight="1" x14ac:dyDescent="0.25">
      <c r="A122" s="42">
        <v>1080</v>
      </c>
      <c r="B122" s="21" t="s">
        <v>345</v>
      </c>
      <c r="C122" s="21" t="s">
        <v>346</v>
      </c>
      <c r="D122" s="21" t="s">
        <v>347</v>
      </c>
    </row>
    <row r="123" spans="1:4" ht="45" customHeight="1" x14ac:dyDescent="0.25">
      <c r="A123" s="75" t="s">
        <v>348</v>
      </c>
      <c r="B123" s="76"/>
      <c r="C123" s="76"/>
      <c r="D123" s="76"/>
    </row>
    <row r="124" spans="1:4" ht="69" customHeight="1" x14ac:dyDescent="0.25">
      <c r="A124" s="42">
        <v>1090</v>
      </c>
      <c r="B124" s="21" t="s">
        <v>349</v>
      </c>
      <c r="C124" s="21" t="s">
        <v>58</v>
      </c>
      <c r="D124" s="21" t="s">
        <v>350</v>
      </c>
    </row>
    <row r="125" spans="1:4" ht="199.5" customHeight="1" x14ac:dyDescent="0.25">
      <c r="A125" s="42">
        <v>1100</v>
      </c>
      <c r="B125" s="21" t="s">
        <v>351</v>
      </c>
      <c r="C125" s="21" t="s">
        <v>352</v>
      </c>
      <c r="D125" s="21" t="s">
        <v>353</v>
      </c>
    </row>
    <row r="126" spans="1:4" ht="210" customHeight="1" x14ac:dyDescent="0.25">
      <c r="A126" s="42">
        <v>1110</v>
      </c>
      <c r="B126" s="21" t="s">
        <v>354</v>
      </c>
      <c r="C126" s="21" t="s">
        <v>352</v>
      </c>
      <c r="D126" s="21" t="s">
        <v>355</v>
      </c>
    </row>
    <row r="127" spans="1:4" ht="83.1" customHeight="1" x14ac:dyDescent="0.25">
      <c r="A127" s="42">
        <v>1120</v>
      </c>
      <c r="B127" s="21" t="s">
        <v>356</v>
      </c>
      <c r="C127" s="21" t="s">
        <v>357</v>
      </c>
      <c r="D127" s="21" t="s">
        <v>358</v>
      </c>
    </row>
    <row r="128" spans="1:4" ht="46.5" customHeight="1" x14ac:dyDescent="0.25">
      <c r="A128" s="75" t="s">
        <v>359</v>
      </c>
      <c r="B128" s="76"/>
      <c r="C128" s="76"/>
      <c r="D128" s="76"/>
    </row>
    <row r="129" spans="1:4" ht="100.8" x14ac:dyDescent="0.25">
      <c r="A129" s="42">
        <v>1130</v>
      </c>
      <c r="B129" s="21" t="s">
        <v>360</v>
      </c>
      <c r="C129" s="21" t="s">
        <v>361</v>
      </c>
      <c r="D129" s="21" t="s">
        <v>362</v>
      </c>
    </row>
    <row r="130" spans="1:4" ht="71.25" customHeight="1" x14ac:dyDescent="0.25">
      <c r="A130" s="42">
        <v>1140</v>
      </c>
      <c r="B130" s="21" t="s">
        <v>363</v>
      </c>
      <c r="C130" s="21" t="s">
        <v>364</v>
      </c>
      <c r="D130" s="21" t="s">
        <v>365</v>
      </c>
    </row>
    <row r="131" spans="1:4" ht="117" customHeight="1" x14ac:dyDescent="0.25">
      <c r="A131" s="42">
        <v>1150</v>
      </c>
      <c r="B131" s="21" t="s">
        <v>366</v>
      </c>
      <c r="C131" s="21" t="s">
        <v>367</v>
      </c>
      <c r="D131" s="21" t="s">
        <v>368</v>
      </c>
    </row>
    <row r="132" spans="1:4" ht="60.75" customHeight="1" x14ac:dyDescent="0.25">
      <c r="A132" s="42">
        <v>1160</v>
      </c>
      <c r="B132" s="21" t="s">
        <v>369</v>
      </c>
      <c r="C132" s="21" t="s">
        <v>370</v>
      </c>
      <c r="D132" s="21" t="s">
        <v>371</v>
      </c>
    </row>
    <row r="133" spans="1:4" ht="87.75" customHeight="1" x14ac:dyDescent="0.25">
      <c r="A133" s="42">
        <v>1170</v>
      </c>
      <c r="B133" s="21" t="s">
        <v>372</v>
      </c>
      <c r="C133" s="21" t="s">
        <v>373</v>
      </c>
      <c r="D133" s="21" t="s">
        <v>374</v>
      </c>
    </row>
    <row r="134" spans="1:4" ht="267.75" customHeight="1" x14ac:dyDescent="0.25">
      <c r="A134" s="42">
        <v>1180</v>
      </c>
      <c r="B134" s="21" t="s">
        <v>375</v>
      </c>
      <c r="C134" s="21" t="s">
        <v>376</v>
      </c>
      <c r="D134" s="21" t="s">
        <v>377</v>
      </c>
    </row>
    <row r="135" spans="1:4" ht="45" customHeight="1" x14ac:dyDescent="0.25">
      <c r="A135" s="75" t="s">
        <v>378</v>
      </c>
      <c r="B135" s="76"/>
      <c r="C135" s="76"/>
      <c r="D135" s="76"/>
    </row>
    <row r="136" spans="1:4" ht="141.75" customHeight="1" x14ac:dyDescent="0.25">
      <c r="A136" s="42">
        <v>1190</v>
      </c>
      <c r="B136" s="21" t="s">
        <v>379</v>
      </c>
      <c r="C136" s="21" t="s">
        <v>380</v>
      </c>
      <c r="D136" s="21" t="s">
        <v>381</v>
      </c>
    </row>
    <row r="137" spans="1:4" ht="146.25" customHeight="1" x14ac:dyDescent="0.25">
      <c r="A137" s="42">
        <v>1200</v>
      </c>
      <c r="B137" s="21" t="s">
        <v>382</v>
      </c>
      <c r="C137" s="21" t="s">
        <v>383</v>
      </c>
      <c r="D137" s="21" t="s">
        <v>384</v>
      </c>
    </row>
    <row r="138" spans="1:4" ht="156.75" customHeight="1" x14ac:dyDescent="0.25">
      <c r="A138" s="42">
        <v>1210</v>
      </c>
      <c r="B138" s="21" t="s">
        <v>385</v>
      </c>
      <c r="C138" s="21" t="s">
        <v>386</v>
      </c>
      <c r="D138" s="21" t="s">
        <v>387</v>
      </c>
    </row>
    <row r="139" spans="1:4" ht="180.75" customHeight="1" x14ac:dyDescent="0.25">
      <c r="A139" s="42">
        <v>1220</v>
      </c>
      <c r="B139" s="21" t="s">
        <v>388</v>
      </c>
      <c r="C139" s="21" t="s">
        <v>389</v>
      </c>
      <c r="D139" s="21" t="s">
        <v>390</v>
      </c>
    </row>
    <row r="140" spans="1:4" ht="154.5" customHeight="1" x14ac:dyDescent="0.25">
      <c r="A140" s="42">
        <v>1230</v>
      </c>
      <c r="B140" s="21" t="s">
        <v>391</v>
      </c>
      <c r="C140" s="21" t="s">
        <v>392</v>
      </c>
      <c r="D140" s="21" t="s">
        <v>393</v>
      </c>
    </row>
    <row r="141" spans="1:4" ht="156" customHeight="1" x14ac:dyDescent="0.25">
      <c r="A141" s="42">
        <v>1240</v>
      </c>
      <c r="B141" s="21" t="s">
        <v>394</v>
      </c>
      <c r="C141" s="21" t="s">
        <v>395</v>
      </c>
      <c r="D141" s="21" t="s">
        <v>396</v>
      </c>
    </row>
    <row r="142" spans="1:4" ht="182.25" customHeight="1" x14ac:dyDescent="0.25">
      <c r="A142" s="42">
        <v>1250</v>
      </c>
      <c r="B142" s="21" t="s">
        <v>397</v>
      </c>
      <c r="C142" s="21" t="s">
        <v>398</v>
      </c>
      <c r="D142" s="21" t="s">
        <v>399</v>
      </c>
    </row>
    <row r="143" spans="1:4" ht="59.25" customHeight="1" x14ac:dyDescent="0.25">
      <c r="A143" s="75" t="s">
        <v>400</v>
      </c>
      <c r="B143" s="76"/>
      <c r="C143" s="76"/>
      <c r="D143" s="76"/>
    </row>
    <row r="144" spans="1:4" ht="110.25" customHeight="1" x14ac:dyDescent="0.25">
      <c r="A144" s="42">
        <v>1260</v>
      </c>
      <c r="B144" s="21" t="s">
        <v>401</v>
      </c>
      <c r="C144" s="21" t="s">
        <v>402</v>
      </c>
      <c r="D144" s="21" t="s">
        <v>403</v>
      </c>
    </row>
    <row r="145" spans="1:4" ht="87.75" customHeight="1" x14ac:dyDescent="0.25">
      <c r="A145" s="42">
        <v>1270</v>
      </c>
      <c r="B145" s="21" t="s">
        <v>404</v>
      </c>
      <c r="C145" s="21" t="s">
        <v>405</v>
      </c>
      <c r="D145" s="21" t="s">
        <v>406</v>
      </c>
    </row>
    <row r="146" spans="1:4" ht="132.75" customHeight="1" x14ac:dyDescent="0.25">
      <c r="A146" s="42">
        <v>1280</v>
      </c>
      <c r="B146" s="21" t="s">
        <v>407</v>
      </c>
      <c r="C146" s="21" t="s">
        <v>408</v>
      </c>
      <c r="D146" s="21" t="s">
        <v>409</v>
      </c>
    </row>
    <row r="147" spans="1:4" ht="201.75" customHeight="1" x14ac:dyDescent="0.25">
      <c r="A147" s="42">
        <v>1290</v>
      </c>
      <c r="B147" s="21" t="s">
        <v>410</v>
      </c>
      <c r="C147" s="21" t="s">
        <v>411</v>
      </c>
      <c r="D147" s="21" t="s">
        <v>412</v>
      </c>
    </row>
    <row r="148" spans="1:4" ht="240.75" customHeight="1" x14ac:dyDescent="0.25">
      <c r="A148" s="42">
        <v>1300</v>
      </c>
      <c r="B148" s="21" t="s">
        <v>413</v>
      </c>
      <c r="C148" s="21" t="s">
        <v>414</v>
      </c>
      <c r="D148" s="21" t="s">
        <v>415</v>
      </c>
    </row>
    <row r="149" spans="1:4" ht="233.55" customHeight="1" x14ac:dyDescent="0.25">
      <c r="A149" s="42">
        <v>1310</v>
      </c>
      <c r="B149" s="21" t="s">
        <v>416</v>
      </c>
      <c r="C149" s="21" t="s">
        <v>417</v>
      </c>
      <c r="D149" s="21" t="s">
        <v>418</v>
      </c>
    </row>
    <row r="150" spans="1:4" ht="68.25" customHeight="1" x14ac:dyDescent="0.25">
      <c r="A150" s="42">
        <v>1320</v>
      </c>
      <c r="B150" s="21" t="s">
        <v>419</v>
      </c>
      <c r="C150" s="21" t="s">
        <v>420</v>
      </c>
      <c r="D150" s="21" t="s">
        <v>421</v>
      </c>
    </row>
    <row r="151" spans="1:4" ht="276.75" customHeight="1" x14ac:dyDescent="0.25">
      <c r="A151" s="42">
        <v>1330</v>
      </c>
      <c r="B151" s="21" t="s">
        <v>422</v>
      </c>
      <c r="C151" s="21" t="s">
        <v>423</v>
      </c>
      <c r="D151" s="21" t="s">
        <v>424</v>
      </c>
    </row>
    <row r="152" spans="1:4" ht="245.25" customHeight="1" x14ac:dyDescent="0.25">
      <c r="A152" s="42">
        <v>1340</v>
      </c>
      <c r="B152" s="21" t="s">
        <v>425</v>
      </c>
      <c r="C152" s="21" t="s">
        <v>426</v>
      </c>
      <c r="D152" s="21" t="s">
        <v>427</v>
      </c>
    </row>
    <row r="153" spans="1:4" ht="127.5" customHeight="1" x14ac:dyDescent="0.25">
      <c r="A153" s="42">
        <v>1350</v>
      </c>
      <c r="B153" s="21" t="s">
        <v>428</v>
      </c>
      <c r="C153" s="21" t="s">
        <v>429</v>
      </c>
      <c r="D153" s="21" t="s">
        <v>430</v>
      </c>
    </row>
    <row r="154" spans="1:4" ht="48" customHeight="1" x14ac:dyDescent="0.25">
      <c r="A154" s="75" t="s">
        <v>431</v>
      </c>
      <c r="B154" s="76"/>
      <c r="C154" s="76"/>
      <c r="D154" s="76"/>
    </row>
    <row r="155" spans="1:4" ht="368.25" customHeight="1" x14ac:dyDescent="0.25">
      <c r="A155" s="42">
        <v>1360</v>
      </c>
      <c r="B155" s="21" t="s">
        <v>432</v>
      </c>
      <c r="C155" s="21" t="s">
        <v>433</v>
      </c>
      <c r="D155" s="21" t="s">
        <v>434</v>
      </c>
    </row>
    <row r="156" spans="1:4" ht="207" customHeight="1" x14ac:dyDescent="0.25">
      <c r="A156" s="42">
        <v>1370</v>
      </c>
      <c r="B156" s="21" t="s">
        <v>435</v>
      </c>
      <c r="C156" s="21" t="s">
        <v>436</v>
      </c>
      <c r="D156" s="21" t="s">
        <v>437</v>
      </c>
    </row>
    <row r="157" spans="1:4" ht="357" customHeight="1" x14ac:dyDescent="0.25">
      <c r="A157" s="42">
        <v>1380</v>
      </c>
      <c r="B157" s="21" t="s">
        <v>438</v>
      </c>
      <c r="C157" s="21" t="s">
        <v>439</v>
      </c>
      <c r="D157" s="21" t="s">
        <v>440</v>
      </c>
    </row>
    <row r="158" spans="1:4" ht="242.25" customHeight="1" x14ac:dyDescent="0.25">
      <c r="A158" s="42">
        <v>1390</v>
      </c>
      <c r="B158" s="21" t="s">
        <v>441</v>
      </c>
      <c r="C158" s="21" t="s">
        <v>442</v>
      </c>
      <c r="D158" s="21" t="s">
        <v>443</v>
      </c>
    </row>
    <row r="159" spans="1:4" ht="227.25" customHeight="1" x14ac:dyDescent="0.25">
      <c r="A159" s="42">
        <v>1400</v>
      </c>
      <c r="B159" s="21" t="s">
        <v>444</v>
      </c>
      <c r="C159" s="21" t="s">
        <v>445</v>
      </c>
      <c r="D159" s="21" t="s">
        <v>446</v>
      </c>
    </row>
    <row r="160" spans="1:4" ht="323.25" customHeight="1" x14ac:dyDescent="0.25">
      <c r="A160" s="42">
        <v>1410</v>
      </c>
      <c r="B160" s="21" t="s">
        <v>447</v>
      </c>
      <c r="C160" s="21" t="s">
        <v>448</v>
      </c>
      <c r="D160" s="21" t="s">
        <v>440</v>
      </c>
    </row>
    <row r="161" spans="1:4" ht="243.75" customHeight="1" x14ac:dyDescent="0.25">
      <c r="A161" s="42">
        <v>1420</v>
      </c>
      <c r="B161" s="21" t="s">
        <v>449</v>
      </c>
      <c r="C161" s="21" t="s">
        <v>450</v>
      </c>
      <c r="D161" s="21" t="s">
        <v>451</v>
      </c>
    </row>
    <row r="162" spans="1:4" ht="221.25" customHeight="1" x14ac:dyDescent="0.25">
      <c r="A162" s="42">
        <v>1430</v>
      </c>
      <c r="B162" s="21" t="s">
        <v>452</v>
      </c>
      <c r="C162" s="21" t="s">
        <v>453</v>
      </c>
      <c r="D162" s="21" t="s">
        <v>454</v>
      </c>
    </row>
  </sheetData>
  <mergeCells count="18">
    <mergeCell ref="A1:D1"/>
    <mergeCell ref="A3:D3"/>
    <mergeCell ref="A30:D30"/>
    <mergeCell ref="A8:D8"/>
    <mergeCell ref="A44:D44"/>
    <mergeCell ref="A135:D135"/>
    <mergeCell ref="A123:D123"/>
    <mergeCell ref="A154:D154"/>
    <mergeCell ref="A50:D50"/>
    <mergeCell ref="A110:D110"/>
    <mergeCell ref="A100:D100"/>
    <mergeCell ref="A61:D61"/>
    <mergeCell ref="A67:D67"/>
    <mergeCell ref="A76:D76"/>
    <mergeCell ref="A85:D85"/>
    <mergeCell ref="A91:D91"/>
    <mergeCell ref="A143:D143"/>
    <mergeCell ref="A128:D128"/>
  </mergeCells>
  <phoneticPr fontId="3" type="noConversion"/>
  <pageMargins left="0.70866141732283472" right="0.70866141732283472" top="1.7322834645669292" bottom="0.62992125984251968" header="0.31496062992125984" footer="0.31496062992125984"/>
  <pageSetup paperSize="9" scale="61" fitToHeight="0" orientation="portrait" r:id="rId1"/>
  <headerFooter>
    <oddHeader xml:space="preserve">&amp;L&amp;G&amp;R&amp;12ProVu Vista Display
Integration Test Request-01 (Software)
       Document ID/Version: GTD-001224/A
  Date: 16-09-2026
</oddHeader>
    <oddFooter>&amp;L&amp;12GOP 004, Design and Development 
GOP004-F14 Issue No: 2&amp;R&amp;12&amp;P of &amp;N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31459-5EF0-4B1F-94BF-8081072F2C15}">
  <sheetPr>
    <pageSetUpPr fitToPage="1"/>
  </sheetPr>
  <dimension ref="A1:E25"/>
  <sheetViews>
    <sheetView view="pageBreakPreview" zoomScale="115" zoomScaleNormal="40" zoomScaleSheetLayoutView="115" workbookViewId="0">
      <selection activeCell="C44" sqref="C44"/>
    </sheetView>
  </sheetViews>
  <sheetFormatPr defaultColWidth="14.5546875" defaultRowHeight="14.4" x14ac:dyDescent="0.3"/>
  <cols>
    <col min="1" max="1" width="15.21875" customWidth="1"/>
    <col min="3" max="3" width="19.21875" customWidth="1"/>
  </cols>
  <sheetData>
    <row r="1" spans="1:5" x14ac:dyDescent="0.3">
      <c r="A1" s="79" t="s">
        <v>455</v>
      </c>
      <c r="B1" s="80"/>
      <c r="C1" s="80"/>
      <c r="D1" s="80"/>
      <c r="E1" s="81"/>
    </row>
    <row r="2" spans="1:5" ht="42" customHeight="1" x14ac:dyDescent="0.3">
      <c r="A2" s="29" t="s">
        <v>456</v>
      </c>
      <c r="B2" s="30" t="s">
        <v>457</v>
      </c>
      <c r="C2" s="31" t="s">
        <v>458</v>
      </c>
      <c r="D2" s="30" t="s">
        <v>457</v>
      </c>
      <c r="E2" s="32" t="s">
        <v>459</v>
      </c>
    </row>
    <row r="3" spans="1:5" x14ac:dyDescent="0.3">
      <c r="A3" s="43" t="s">
        <v>460</v>
      </c>
      <c r="B3" s="33">
        <f t="shared" ref="B3:B22" si="0">LEFT(A3,FIND(":",A3)-1)*60000
 + MID(A3,FIND(":",A3)+1, FIND(":",A3,FIND(":",A3)+1)-FIND(":",A3)-1)*1000
 + RIGHT(A3,LEN(A3)-FIND(":",A3,FIND(":",A3)+1))</f>
        <v>120</v>
      </c>
      <c r="C3" s="43" t="s">
        <v>461</v>
      </c>
      <c r="D3" s="33">
        <f t="shared" ref="D3:D22" si="1">LEFT(C3,FIND(":",C3)-1)*60000
 + MID(C3,FIND(":",C3)+1, FIND(":",C3,FIND(":",C3)+1)-FIND(":",C3)-1)*1000
 + RIGHT(C3,LEN(C3)-FIND(":",C3,FIND(":",C3)+1))</f>
        <v>20</v>
      </c>
      <c r="E3" s="24">
        <f>B3-D3</f>
        <v>100</v>
      </c>
    </row>
    <row r="4" spans="1:5" x14ac:dyDescent="0.3">
      <c r="A4" s="43"/>
      <c r="B4" s="33" t="e">
        <f t="shared" si="0"/>
        <v>#VALUE!</v>
      </c>
      <c r="C4" s="43"/>
      <c r="D4" s="33" t="e">
        <f t="shared" si="1"/>
        <v>#VALUE!</v>
      </c>
      <c r="E4" s="24"/>
    </row>
    <row r="5" spans="1:5" x14ac:dyDescent="0.3">
      <c r="A5" s="43"/>
      <c r="B5" s="33" t="e">
        <f t="shared" si="0"/>
        <v>#VALUE!</v>
      </c>
      <c r="C5" s="43"/>
      <c r="D5" s="33" t="e">
        <f t="shared" si="1"/>
        <v>#VALUE!</v>
      </c>
      <c r="E5" s="24"/>
    </row>
    <row r="6" spans="1:5" x14ac:dyDescent="0.3">
      <c r="A6" s="43"/>
      <c r="B6" s="33" t="e">
        <f t="shared" si="0"/>
        <v>#VALUE!</v>
      </c>
      <c r="C6" s="43"/>
      <c r="D6" s="33" t="e">
        <f t="shared" si="1"/>
        <v>#VALUE!</v>
      </c>
      <c r="E6" s="24"/>
    </row>
    <row r="7" spans="1:5" x14ac:dyDescent="0.3">
      <c r="A7" s="43"/>
      <c r="B7" s="33" t="e">
        <f t="shared" si="0"/>
        <v>#VALUE!</v>
      </c>
      <c r="C7" s="43"/>
      <c r="D7" s="33" t="e">
        <f t="shared" si="1"/>
        <v>#VALUE!</v>
      </c>
      <c r="E7" s="24"/>
    </row>
    <row r="8" spans="1:5" x14ac:dyDescent="0.3">
      <c r="A8" s="43"/>
      <c r="B8" s="33" t="e">
        <f t="shared" si="0"/>
        <v>#VALUE!</v>
      </c>
      <c r="C8" s="43"/>
      <c r="D8" s="33" t="e">
        <f t="shared" si="1"/>
        <v>#VALUE!</v>
      </c>
      <c r="E8" s="24"/>
    </row>
    <row r="9" spans="1:5" x14ac:dyDescent="0.3">
      <c r="A9" s="43"/>
      <c r="B9" s="33" t="e">
        <f t="shared" si="0"/>
        <v>#VALUE!</v>
      </c>
      <c r="C9" s="43"/>
      <c r="D9" s="33" t="e">
        <f t="shared" si="1"/>
        <v>#VALUE!</v>
      </c>
      <c r="E9" s="24"/>
    </row>
    <row r="10" spans="1:5" x14ac:dyDescent="0.3">
      <c r="A10" s="43"/>
      <c r="B10" s="33" t="e">
        <f t="shared" si="0"/>
        <v>#VALUE!</v>
      </c>
      <c r="C10" s="43"/>
      <c r="D10" s="33" t="e">
        <f t="shared" si="1"/>
        <v>#VALUE!</v>
      </c>
      <c r="E10" s="24"/>
    </row>
    <row r="11" spans="1:5" x14ac:dyDescent="0.3">
      <c r="A11" s="43"/>
      <c r="B11" s="33" t="e">
        <f t="shared" si="0"/>
        <v>#VALUE!</v>
      </c>
      <c r="C11" s="43"/>
      <c r="D11" s="33" t="e">
        <f t="shared" si="1"/>
        <v>#VALUE!</v>
      </c>
      <c r="E11" s="24"/>
    </row>
    <row r="12" spans="1:5" x14ac:dyDescent="0.3">
      <c r="A12" s="43"/>
      <c r="B12" s="33" t="e">
        <f t="shared" si="0"/>
        <v>#VALUE!</v>
      </c>
      <c r="C12" s="43"/>
      <c r="D12" s="33" t="e">
        <f t="shared" si="1"/>
        <v>#VALUE!</v>
      </c>
      <c r="E12" s="24"/>
    </row>
    <row r="13" spans="1:5" x14ac:dyDescent="0.3">
      <c r="A13" s="43"/>
      <c r="B13" s="33" t="e">
        <f t="shared" si="0"/>
        <v>#VALUE!</v>
      </c>
      <c r="C13" s="43"/>
      <c r="D13" s="33" t="e">
        <f t="shared" si="1"/>
        <v>#VALUE!</v>
      </c>
      <c r="E13" s="24"/>
    </row>
    <row r="14" spans="1:5" x14ac:dyDescent="0.3">
      <c r="A14" s="43" t="s">
        <v>462</v>
      </c>
      <c r="B14" s="33" t="e">
        <f t="shared" si="0"/>
        <v>#VALUE!</v>
      </c>
      <c r="C14" s="43" t="s">
        <v>462</v>
      </c>
      <c r="D14" s="33" t="e">
        <f t="shared" si="1"/>
        <v>#VALUE!</v>
      </c>
      <c r="E14" s="24" t="s">
        <v>462</v>
      </c>
    </row>
    <row r="15" spans="1:5" x14ac:dyDescent="0.3">
      <c r="A15" s="43" t="s">
        <v>462</v>
      </c>
      <c r="B15" s="33" t="e">
        <f t="shared" si="0"/>
        <v>#VALUE!</v>
      </c>
      <c r="C15" s="43" t="s">
        <v>462</v>
      </c>
      <c r="D15" s="33" t="e">
        <f t="shared" si="1"/>
        <v>#VALUE!</v>
      </c>
      <c r="E15" s="24" t="s">
        <v>462</v>
      </c>
    </row>
    <row r="16" spans="1:5" x14ac:dyDescent="0.3">
      <c r="A16" s="43" t="s">
        <v>462</v>
      </c>
      <c r="B16" s="33" t="e">
        <f t="shared" si="0"/>
        <v>#VALUE!</v>
      </c>
      <c r="C16" s="43" t="s">
        <v>462</v>
      </c>
      <c r="D16" s="33" t="e">
        <f t="shared" si="1"/>
        <v>#VALUE!</v>
      </c>
      <c r="E16" s="24" t="s">
        <v>462</v>
      </c>
    </row>
    <row r="17" spans="1:5" x14ac:dyDescent="0.3">
      <c r="A17" s="43" t="s">
        <v>462</v>
      </c>
      <c r="B17" s="33" t="e">
        <f t="shared" si="0"/>
        <v>#VALUE!</v>
      </c>
      <c r="C17" s="43" t="s">
        <v>462</v>
      </c>
      <c r="D17" s="33" t="e">
        <f t="shared" si="1"/>
        <v>#VALUE!</v>
      </c>
      <c r="E17" s="24" t="s">
        <v>462</v>
      </c>
    </row>
    <row r="18" spans="1:5" x14ac:dyDescent="0.3">
      <c r="A18" s="43" t="s">
        <v>462</v>
      </c>
      <c r="B18" s="33" t="e">
        <f t="shared" si="0"/>
        <v>#VALUE!</v>
      </c>
      <c r="C18" s="43" t="s">
        <v>462</v>
      </c>
      <c r="D18" s="33" t="e">
        <f t="shared" si="1"/>
        <v>#VALUE!</v>
      </c>
      <c r="E18" s="24" t="s">
        <v>462</v>
      </c>
    </row>
    <row r="19" spans="1:5" x14ac:dyDescent="0.3">
      <c r="A19" s="43" t="s">
        <v>462</v>
      </c>
      <c r="B19" s="33" t="e">
        <f t="shared" si="0"/>
        <v>#VALUE!</v>
      </c>
      <c r="C19" s="43" t="s">
        <v>462</v>
      </c>
      <c r="D19" s="33" t="e">
        <f t="shared" si="1"/>
        <v>#VALUE!</v>
      </c>
      <c r="E19" s="24" t="s">
        <v>462</v>
      </c>
    </row>
    <row r="20" spans="1:5" x14ac:dyDescent="0.3">
      <c r="A20" s="43" t="s">
        <v>462</v>
      </c>
      <c r="B20" s="33" t="e">
        <f t="shared" si="0"/>
        <v>#VALUE!</v>
      </c>
      <c r="C20" s="43" t="s">
        <v>462</v>
      </c>
      <c r="D20" s="33" t="e">
        <f t="shared" si="1"/>
        <v>#VALUE!</v>
      </c>
      <c r="E20" s="24" t="s">
        <v>462</v>
      </c>
    </row>
    <row r="21" spans="1:5" x14ac:dyDescent="0.3">
      <c r="A21" s="43" t="s">
        <v>462</v>
      </c>
      <c r="B21" s="33" t="e">
        <f t="shared" si="0"/>
        <v>#VALUE!</v>
      </c>
      <c r="C21" s="43" t="s">
        <v>462</v>
      </c>
      <c r="D21" s="33" t="e">
        <f t="shared" si="1"/>
        <v>#VALUE!</v>
      </c>
      <c r="E21" s="24" t="s">
        <v>462</v>
      </c>
    </row>
    <row r="22" spans="1:5" x14ac:dyDescent="0.3">
      <c r="A22" s="43" t="s">
        <v>462</v>
      </c>
      <c r="B22" s="33" t="e">
        <f t="shared" si="0"/>
        <v>#VALUE!</v>
      </c>
      <c r="C22" s="23" t="s">
        <v>462</v>
      </c>
      <c r="D22" s="33" t="e">
        <f t="shared" si="1"/>
        <v>#VALUE!</v>
      </c>
      <c r="E22" s="24" t="s">
        <v>462</v>
      </c>
    </row>
    <row r="23" spans="1:5" x14ac:dyDescent="0.3">
      <c r="A23" s="25" t="s">
        <v>462</v>
      </c>
      <c r="B23" s="26" t="s">
        <v>462</v>
      </c>
      <c r="C23" s="26" t="s">
        <v>462</v>
      </c>
      <c r="D23" s="27" t="s">
        <v>463</v>
      </c>
      <c r="E23" s="28">
        <f>AVERAGE(E3:E22)</f>
        <v>100</v>
      </c>
    </row>
    <row r="25" spans="1:5" ht="35.25" customHeight="1" x14ac:dyDescent="0.3">
      <c r="A25" s="82" t="s">
        <v>464</v>
      </c>
      <c r="B25" s="82"/>
      <c r="C25" s="82"/>
      <c r="D25" s="82"/>
      <c r="E25" s="82"/>
    </row>
  </sheetData>
  <mergeCells count="2">
    <mergeCell ref="A1:E1"/>
    <mergeCell ref="A25:E25"/>
  </mergeCells>
  <pageMargins left="0.70866141732283472" right="0.70866141732283472" top="1.7322834645669292" bottom="0.62992125984251968" header="0.31496062992125984" footer="0.31496062992125984"/>
  <pageSetup paperSize="9" orientation="portrait" r:id="rId1"/>
  <headerFooter>
    <oddHeader xml:space="preserve">&amp;L&amp;G&amp;R&amp;12ProVu Vista Display
Integration Test Request-01 (Software)
       Document ID/Version: GTD-001224/A
  Date: 16-09-2026
</oddHeader>
    <oddFooter>&amp;L&amp;12GOP 004, Design and Development 
GOP004-F14 Issue No: 2&amp;R&amp;12&amp;P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02F18-6757-472C-8F7F-C4CB3364A11A}">
  <sheetPr>
    <pageSetUpPr fitToPage="1"/>
  </sheetPr>
  <dimension ref="A2:D32"/>
  <sheetViews>
    <sheetView view="pageBreakPreview" zoomScale="85" zoomScaleNormal="40" zoomScaleSheetLayoutView="85" workbookViewId="0">
      <selection activeCell="C44" sqref="C44"/>
    </sheetView>
  </sheetViews>
  <sheetFormatPr defaultRowHeight="14.4" x14ac:dyDescent="0.3"/>
  <cols>
    <col min="1" max="1" width="10.77734375" customWidth="1"/>
    <col min="2" max="2" width="39.21875" customWidth="1"/>
    <col min="3" max="3" width="34.77734375" customWidth="1"/>
    <col min="4" max="4" width="53.21875" customWidth="1"/>
  </cols>
  <sheetData>
    <row r="2" spans="1:4" x14ac:dyDescent="0.3">
      <c r="A2" s="83" t="s">
        <v>465</v>
      </c>
      <c r="B2" s="83"/>
      <c r="C2" s="83"/>
      <c r="D2" s="83"/>
    </row>
    <row r="3" spans="1:4" x14ac:dyDescent="0.3">
      <c r="A3" s="83" t="s">
        <v>466</v>
      </c>
      <c r="B3" s="83"/>
      <c r="C3" s="83"/>
      <c r="D3" s="83"/>
    </row>
    <row r="4" spans="1:4" x14ac:dyDescent="0.3">
      <c r="A4" s="22" t="s">
        <v>467</v>
      </c>
      <c r="B4" s="22" t="s">
        <v>468</v>
      </c>
      <c r="C4" s="22" t="s">
        <v>54</v>
      </c>
      <c r="D4" s="22" t="s">
        <v>469</v>
      </c>
    </row>
    <row r="5" spans="1:4" ht="64.5" customHeight="1" x14ac:dyDescent="0.3">
      <c r="A5" s="21" t="s">
        <v>470</v>
      </c>
      <c r="B5" s="21" t="s">
        <v>471</v>
      </c>
      <c r="C5" s="21" t="s">
        <v>472</v>
      </c>
      <c r="D5" s="21" t="s">
        <v>473</v>
      </c>
    </row>
    <row r="6" spans="1:4" ht="94.5" customHeight="1" x14ac:dyDescent="0.3">
      <c r="A6" s="21" t="s">
        <v>474</v>
      </c>
      <c r="B6" s="21" t="s">
        <v>475</v>
      </c>
      <c r="C6" s="21" t="s">
        <v>476</v>
      </c>
      <c r="D6" s="21" t="s">
        <v>477</v>
      </c>
    </row>
    <row r="7" spans="1:4" ht="106.5" customHeight="1" x14ac:dyDescent="0.3">
      <c r="A7" s="21" t="s">
        <v>478</v>
      </c>
      <c r="B7" s="21" t="s">
        <v>479</v>
      </c>
      <c r="C7" s="21" t="s">
        <v>480</v>
      </c>
      <c r="D7" s="21" t="s">
        <v>481</v>
      </c>
    </row>
    <row r="8" spans="1:4" ht="65.25" customHeight="1" x14ac:dyDescent="0.3">
      <c r="A8" s="21" t="s">
        <v>482</v>
      </c>
      <c r="B8" s="21" t="s">
        <v>483</v>
      </c>
      <c r="C8" s="21" t="s">
        <v>484</v>
      </c>
      <c r="D8" s="21" t="s">
        <v>485</v>
      </c>
    </row>
    <row r="9" spans="1:4" ht="111.75" customHeight="1" x14ac:dyDescent="0.3">
      <c r="A9" s="21" t="s">
        <v>486</v>
      </c>
      <c r="B9" s="21" t="s">
        <v>487</v>
      </c>
      <c r="C9" s="21" t="s">
        <v>488</v>
      </c>
      <c r="D9" s="21" t="s">
        <v>489</v>
      </c>
    </row>
    <row r="14" spans="1:4" x14ac:dyDescent="0.3">
      <c r="A14" s="83" t="s">
        <v>490</v>
      </c>
      <c r="B14" s="83"/>
      <c r="C14" s="83"/>
      <c r="D14" s="83"/>
    </row>
    <row r="15" spans="1:4" x14ac:dyDescent="0.3">
      <c r="A15" s="83" t="s">
        <v>491</v>
      </c>
      <c r="B15" s="83"/>
      <c r="C15" s="83"/>
      <c r="D15" s="83"/>
    </row>
    <row r="16" spans="1:4" x14ac:dyDescent="0.3">
      <c r="A16" s="22" t="s">
        <v>467</v>
      </c>
      <c r="B16" s="22" t="s">
        <v>468</v>
      </c>
      <c r="C16" s="22" t="s">
        <v>54</v>
      </c>
      <c r="D16" s="22" t="s">
        <v>469</v>
      </c>
    </row>
    <row r="17" spans="1:4" ht="43.2" x14ac:dyDescent="0.3">
      <c r="A17" s="21" t="s">
        <v>492</v>
      </c>
      <c r="B17" s="21" t="s">
        <v>493</v>
      </c>
      <c r="C17" s="21" t="s">
        <v>494</v>
      </c>
      <c r="D17" s="21" t="s">
        <v>495</v>
      </c>
    </row>
    <row r="18" spans="1:4" ht="72" x14ac:dyDescent="0.3">
      <c r="A18" s="21" t="s">
        <v>496</v>
      </c>
      <c r="B18" s="21" t="s">
        <v>475</v>
      </c>
      <c r="C18" s="21" t="s">
        <v>476</v>
      </c>
      <c r="D18" s="21" t="s">
        <v>497</v>
      </c>
    </row>
    <row r="19" spans="1:4" ht="110.25" customHeight="1" x14ac:dyDescent="0.3">
      <c r="A19" s="21" t="s">
        <v>498</v>
      </c>
      <c r="B19" s="21" t="s">
        <v>479</v>
      </c>
      <c r="C19" s="21" t="s">
        <v>480</v>
      </c>
      <c r="D19" s="21" t="s">
        <v>499</v>
      </c>
    </row>
    <row r="20" spans="1:4" ht="65.25" customHeight="1" x14ac:dyDescent="0.3">
      <c r="A20" s="21" t="s">
        <v>500</v>
      </c>
      <c r="B20" s="21" t="s">
        <v>483</v>
      </c>
      <c r="C20" s="21" t="s">
        <v>484</v>
      </c>
      <c r="D20" s="21" t="s">
        <v>501</v>
      </c>
    </row>
    <row r="21" spans="1:4" ht="126.75" customHeight="1" x14ac:dyDescent="0.3">
      <c r="A21" s="21" t="s">
        <v>502</v>
      </c>
      <c r="B21" s="21" t="s">
        <v>503</v>
      </c>
      <c r="C21" s="21" t="s">
        <v>504</v>
      </c>
      <c r="D21" s="21" t="s">
        <v>505</v>
      </c>
    </row>
    <row r="25" spans="1:4" x14ac:dyDescent="0.3">
      <c r="A25" s="83" t="s">
        <v>506</v>
      </c>
      <c r="B25" s="83"/>
      <c r="C25" s="83"/>
      <c r="D25" s="83"/>
    </row>
    <row r="26" spans="1:4" x14ac:dyDescent="0.3">
      <c r="A26" s="83" t="s">
        <v>491</v>
      </c>
      <c r="B26" s="83"/>
      <c r="C26" s="83"/>
      <c r="D26" s="83"/>
    </row>
    <row r="27" spans="1:4" x14ac:dyDescent="0.3">
      <c r="A27" s="22" t="s">
        <v>467</v>
      </c>
      <c r="B27" s="22" t="s">
        <v>468</v>
      </c>
      <c r="C27" s="22" t="s">
        <v>54</v>
      </c>
      <c r="D27" s="22" t="s">
        <v>469</v>
      </c>
    </row>
    <row r="28" spans="1:4" ht="43.2" x14ac:dyDescent="0.3">
      <c r="A28" s="21" t="s">
        <v>507</v>
      </c>
      <c r="B28" s="21" t="s">
        <v>508</v>
      </c>
      <c r="C28" s="21" t="s">
        <v>509</v>
      </c>
      <c r="D28" s="21" t="s">
        <v>510</v>
      </c>
    </row>
    <row r="29" spans="1:4" ht="84.75" customHeight="1" x14ac:dyDescent="0.3">
      <c r="A29" s="21" t="s">
        <v>511</v>
      </c>
      <c r="B29" s="21" t="s">
        <v>475</v>
      </c>
      <c r="C29" s="21" t="s">
        <v>476</v>
      </c>
      <c r="D29" s="21" t="s">
        <v>497</v>
      </c>
    </row>
    <row r="30" spans="1:4" ht="107.25" customHeight="1" x14ac:dyDescent="0.3">
      <c r="A30" s="21" t="s">
        <v>512</v>
      </c>
      <c r="B30" s="21" t="s">
        <v>479</v>
      </c>
      <c r="C30" s="21" t="s">
        <v>480</v>
      </c>
      <c r="D30" s="21" t="s">
        <v>499</v>
      </c>
    </row>
    <row r="31" spans="1:4" ht="72" customHeight="1" x14ac:dyDescent="0.3">
      <c r="A31" s="21" t="s">
        <v>513</v>
      </c>
      <c r="B31" s="21" t="s">
        <v>483</v>
      </c>
      <c r="C31" s="21" t="s">
        <v>484</v>
      </c>
      <c r="D31" s="21" t="s">
        <v>501</v>
      </c>
    </row>
    <row r="32" spans="1:4" ht="101.25" customHeight="1" x14ac:dyDescent="0.3">
      <c r="A32" s="21" t="s">
        <v>514</v>
      </c>
      <c r="B32" s="21" t="s">
        <v>515</v>
      </c>
      <c r="C32" s="21" t="s">
        <v>516</v>
      </c>
      <c r="D32" s="21" t="s">
        <v>517</v>
      </c>
    </row>
  </sheetData>
  <mergeCells count="6">
    <mergeCell ref="A26:D26"/>
    <mergeCell ref="A3:D3"/>
    <mergeCell ref="A2:D2"/>
    <mergeCell ref="A14:D14"/>
    <mergeCell ref="A15:D15"/>
    <mergeCell ref="A25:D25"/>
  </mergeCells>
  <pageMargins left="0.70866141732283472" right="0.70866141732283472" top="1.7322834645669292" bottom="0.62992125984251968" header="0.31496062992125984" footer="0.31496062992125984"/>
  <pageSetup paperSize="9" scale="44" orientation="portrait" r:id="rId1"/>
  <headerFooter>
    <oddHeader xml:space="preserve">&amp;L&amp;G&amp;R&amp;12ProVu Vista Display
Integration Test Request-01 (Software)
       Document ID/Version: GTD-001224/A
  Date: 16-09-2026
</oddHeader>
    <oddFooter>&amp;L&amp;12GOP 004, Design and Development 
GOP004-F14 Issue No: 2&amp;R&amp;12&amp;P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982B3-B2A0-4434-81F9-67709254811D}">
  <sheetPr>
    <pageSetUpPr fitToPage="1"/>
  </sheetPr>
  <dimension ref="A1:D181"/>
  <sheetViews>
    <sheetView view="pageBreakPreview" zoomScale="160" zoomScaleNormal="40" zoomScaleSheetLayoutView="160" workbookViewId="0">
      <selection activeCell="C44" sqref="C44"/>
    </sheetView>
  </sheetViews>
  <sheetFormatPr defaultRowHeight="14.4" x14ac:dyDescent="0.3"/>
  <cols>
    <col min="1" max="1" width="16.21875" customWidth="1"/>
    <col min="2" max="2" width="16.5546875" bestFit="1" customWidth="1"/>
    <col min="3" max="3" width="10.77734375" bestFit="1" customWidth="1"/>
    <col min="4" max="4" width="28" customWidth="1"/>
  </cols>
  <sheetData>
    <row r="1" spans="1:4" ht="17.399999999999999" x14ac:dyDescent="0.3">
      <c r="A1" s="38" t="s">
        <v>518</v>
      </c>
      <c r="B1" s="38"/>
      <c r="C1" s="38"/>
      <c r="D1" s="38"/>
    </row>
    <row r="2" spans="1:4" ht="27.6" x14ac:dyDescent="0.3">
      <c r="A2" s="34" t="s">
        <v>519</v>
      </c>
      <c r="B2" s="34" t="s">
        <v>520</v>
      </c>
      <c r="C2" s="34" t="s">
        <v>521</v>
      </c>
      <c r="D2" s="34" t="s">
        <v>522</v>
      </c>
    </row>
    <row r="3" spans="1:4" x14ac:dyDescent="0.3">
      <c r="A3" s="35" t="s">
        <v>523</v>
      </c>
      <c r="B3" s="35" t="s">
        <v>524</v>
      </c>
      <c r="C3" s="36"/>
      <c r="D3" s="37"/>
    </row>
    <row r="4" spans="1:4" x14ac:dyDescent="0.3">
      <c r="A4" s="35" t="s">
        <v>525</v>
      </c>
      <c r="B4" s="35" t="s">
        <v>526</v>
      </c>
      <c r="C4" s="36"/>
      <c r="D4" s="37"/>
    </row>
    <row r="5" spans="1:4" x14ac:dyDescent="0.3">
      <c r="A5" s="35" t="s">
        <v>527</v>
      </c>
      <c r="B5" s="35" t="s">
        <v>528</v>
      </c>
      <c r="C5" s="36"/>
      <c r="D5" s="37"/>
    </row>
    <row r="6" spans="1:4" x14ac:dyDescent="0.3">
      <c r="A6" s="35" t="s">
        <v>529</v>
      </c>
      <c r="B6" s="35" t="s">
        <v>530</v>
      </c>
      <c r="C6" s="36"/>
      <c r="D6" s="37"/>
    </row>
    <row r="7" spans="1:4" x14ac:dyDescent="0.3">
      <c r="A7" s="35" t="s">
        <v>531</v>
      </c>
      <c r="B7" s="35" t="s">
        <v>530</v>
      </c>
      <c r="C7" s="36"/>
      <c r="D7" s="37"/>
    </row>
    <row r="8" spans="1:4" x14ac:dyDescent="0.3">
      <c r="A8" s="35" t="s">
        <v>532</v>
      </c>
      <c r="B8" s="35" t="s">
        <v>526</v>
      </c>
      <c r="C8" s="36"/>
      <c r="D8" s="37"/>
    </row>
    <row r="9" spans="1:4" x14ac:dyDescent="0.3">
      <c r="A9" s="35" t="s">
        <v>533</v>
      </c>
      <c r="B9" s="35" t="s">
        <v>528</v>
      </c>
      <c r="C9" s="36"/>
      <c r="D9" s="37"/>
    </row>
    <row r="10" spans="1:4" x14ac:dyDescent="0.3">
      <c r="A10" s="35" t="s">
        <v>534</v>
      </c>
      <c r="B10" s="35" t="s">
        <v>535</v>
      </c>
      <c r="C10" s="36"/>
      <c r="D10" s="37"/>
    </row>
    <row r="11" spans="1:4" x14ac:dyDescent="0.3">
      <c r="A11" s="35" t="s">
        <v>536</v>
      </c>
      <c r="B11" s="35" t="s">
        <v>537</v>
      </c>
      <c r="C11" s="36"/>
      <c r="D11" s="37"/>
    </row>
    <row r="12" spans="1:4" x14ac:dyDescent="0.3">
      <c r="A12" s="35" t="s">
        <v>538</v>
      </c>
      <c r="B12" s="35" t="s">
        <v>539</v>
      </c>
      <c r="C12" s="36"/>
      <c r="D12" s="37"/>
    </row>
    <row r="13" spans="1:4" x14ac:dyDescent="0.3">
      <c r="A13" s="35" t="s">
        <v>540</v>
      </c>
      <c r="B13" s="35" t="s">
        <v>541</v>
      </c>
      <c r="C13" s="36"/>
      <c r="D13" s="37"/>
    </row>
    <row r="14" spans="1:4" x14ac:dyDescent="0.3">
      <c r="A14" s="35" t="s">
        <v>542</v>
      </c>
      <c r="B14" s="35" t="s">
        <v>543</v>
      </c>
      <c r="C14" s="36"/>
      <c r="D14" s="37"/>
    </row>
    <row r="15" spans="1:4" x14ac:dyDescent="0.3">
      <c r="A15" s="35" t="s">
        <v>544</v>
      </c>
      <c r="B15" s="35" t="s">
        <v>541</v>
      </c>
      <c r="C15" s="36"/>
      <c r="D15" s="37"/>
    </row>
    <row r="16" spans="1:4" x14ac:dyDescent="0.3">
      <c r="A16" s="35" t="s">
        <v>545</v>
      </c>
      <c r="B16" s="35" t="s">
        <v>546</v>
      </c>
      <c r="C16" s="36"/>
      <c r="D16" s="37"/>
    </row>
    <row r="17" spans="1:4" x14ac:dyDescent="0.3">
      <c r="A17" s="35" t="s">
        <v>547</v>
      </c>
      <c r="B17" s="35" t="s">
        <v>537</v>
      </c>
      <c r="C17" s="36"/>
      <c r="D17" s="37"/>
    </row>
    <row r="18" spans="1:4" x14ac:dyDescent="0.3">
      <c r="A18" s="35" t="s">
        <v>548</v>
      </c>
      <c r="B18" s="35" t="s">
        <v>526</v>
      </c>
      <c r="C18" s="36"/>
      <c r="D18" s="37"/>
    </row>
    <row r="19" spans="1:4" x14ac:dyDescent="0.3">
      <c r="A19" s="35" t="s">
        <v>549</v>
      </c>
      <c r="B19" s="35" t="s">
        <v>528</v>
      </c>
      <c r="C19" s="36"/>
      <c r="D19" s="37"/>
    </row>
    <row r="20" spans="1:4" x14ac:dyDescent="0.3">
      <c r="A20" s="35" t="s">
        <v>550</v>
      </c>
      <c r="B20" s="35" t="s">
        <v>551</v>
      </c>
      <c r="C20" s="36"/>
      <c r="D20" s="37"/>
    </row>
    <row r="21" spans="1:4" x14ac:dyDescent="0.3">
      <c r="A21" s="35" t="s">
        <v>552</v>
      </c>
      <c r="B21" s="35" t="s">
        <v>537</v>
      </c>
      <c r="C21" s="36"/>
      <c r="D21" s="37"/>
    </row>
    <row r="22" spans="1:4" x14ac:dyDescent="0.3">
      <c r="A22" s="35" t="s">
        <v>553</v>
      </c>
      <c r="B22" s="35" t="s">
        <v>541</v>
      </c>
      <c r="C22" s="36"/>
      <c r="D22" s="37"/>
    </row>
    <row r="23" spans="1:4" x14ac:dyDescent="0.3">
      <c r="A23" s="35" t="s">
        <v>554</v>
      </c>
      <c r="B23" s="35" t="s">
        <v>526</v>
      </c>
      <c r="C23" s="36"/>
      <c r="D23" s="37"/>
    </row>
    <row r="24" spans="1:4" x14ac:dyDescent="0.3">
      <c r="A24" s="35" t="s">
        <v>555</v>
      </c>
      <c r="B24" s="35" t="s">
        <v>556</v>
      </c>
      <c r="C24" s="36"/>
      <c r="D24" s="37"/>
    </row>
    <row r="25" spans="1:4" x14ac:dyDescent="0.3">
      <c r="A25" s="35" t="s">
        <v>557</v>
      </c>
      <c r="B25" s="35" t="s">
        <v>526</v>
      </c>
      <c r="C25" s="36"/>
      <c r="D25" s="37"/>
    </row>
    <row r="26" spans="1:4" x14ac:dyDescent="0.3">
      <c r="A26" s="35" t="s">
        <v>558</v>
      </c>
      <c r="B26" s="35" t="s">
        <v>559</v>
      </c>
      <c r="C26" s="36"/>
      <c r="D26" s="37"/>
    </row>
    <row r="27" spans="1:4" x14ac:dyDescent="0.3">
      <c r="A27" s="35" t="s">
        <v>560</v>
      </c>
      <c r="B27" s="35" t="s">
        <v>526</v>
      </c>
      <c r="C27" s="36"/>
      <c r="D27" s="37"/>
    </row>
    <row r="28" spans="1:4" x14ac:dyDescent="0.3">
      <c r="A28" s="35" t="s">
        <v>561</v>
      </c>
      <c r="B28" s="35" t="s">
        <v>562</v>
      </c>
      <c r="C28" s="36"/>
      <c r="D28" s="37"/>
    </row>
    <row r="29" spans="1:4" x14ac:dyDescent="0.3">
      <c r="A29" s="35" t="s">
        <v>563</v>
      </c>
      <c r="B29" s="35" t="s">
        <v>564</v>
      </c>
      <c r="C29" s="36"/>
      <c r="D29" s="37"/>
    </row>
    <row r="30" spans="1:4" x14ac:dyDescent="0.3">
      <c r="A30" s="35" t="s">
        <v>565</v>
      </c>
      <c r="B30" s="35" t="s">
        <v>564</v>
      </c>
      <c r="C30" s="36"/>
      <c r="D30" s="37"/>
    </row>
    <row r="31" spans="1:4" x14ac:dyDescent="0.3">
      <c r="A31" s="35" t="s">
        <v>566</v>
      </c>
      <c r="B31" s="35" t="s">
        <v>537</v>
      </c>
      <c r="C31" s="36"/>
      <c r="D31" s="37"/>
    </row>
    <row r="32" spans="1:4" x14ac:dyDescent="0.3">
      <c r="A32" s="35" t="s">
        <v>567</v>
      </c>
      <c r="B32" s="35" t="s">
        <v>526</v>
      </c>
      <c r="C32" s="36"/>
      <c r="D32" s="37"/>
    </row>
    <row r="33" spans="1:4" ht="201.6" x14ac:dyDescent="0.3">
      <c r="A33" s="35" t="s">
        <v>568</v>
      </c>
      <c r="B33" s="35" t="s">
        <v>526</v>
      </c>
      <c r="C33" s="36" t="s">
        <v>569</v>
      </c>
      <c r="D33" s="37"/>
    </row>
    <row r="34" spans="1:4" ht="201.6" x14ac:dyDescent="0.3">
      <c r="A34" s="35" t="s">
        <v>570</v>
      </c>
      <c r="B34" s="35" t="s">
        <v>541</v>
      </c>
      <c r="C34" s="36" t="s">
        <v>569</v>
      </c>
      <c r="D34" s="37"/>
    </row>
    <row r="35" spans="1:4" ht="201.6" x14ac:dyDescent="0.3">
      <c r="A35" s="35" t="s">
        <v>571</v>
      </c>
      <c r="B35" s="35" t="s">
        <v>572</v>
      </c>
      <c r="C35" s="36" t="s">
        <v>569</v>
      </c>
      <c r="D35" s="37"/>
    </row>
    <row r="36" spans="1:4" x14ac:dyDescent="0.3">
      <c r="A36" s="35" t="s">
        <v>573</v>
      </c>
      <c r="B36" s="35" t="s">
        <v>526</v>
      </c>
      <c r="C36" s="36"/>
      <c r="D36" s="37"/>
    </row>
    <row r="37" spans="1:4" ht="172.8" x14ac:dyDescent="0.3">
      <c r="A37" s="35" t="s">
        <v>574</v>
      </c>
      <c r="B37" s="35" t="s">
        <v>564</v>
      </c>
      <c r="C37" s="36" t="s">
        <v>575</v>
      </c>
      <c r="D37" s="37"/>
    </row>
    <row r="38" spans="1:4" ht="172.8" x14ac:dyDescent="0.3">
      <c r="A38" s="35" t="s">
        <v>576</v>
      </c>
      <c r="B38" s="35" t="s">
        <v>526</v>
      </c>
      <c r="C38" s="36" t="s">
        <v>575</v>
      </c>
      <c r="D38" s="37"/>
    </row>
    <row r="39" spans="1:4" ht="244.8" x14ac:dyDescent="0.3">
      <c r="A39" s="35" t="s">
        <v>577</v>
      </c>
      <c r="B39" s="35" t="s">
        <v>537</v>
      </c>
      <c r="C39" s="36" t="s">
        <v>578</v>
      </c>
      <c r="D39" s="37"/>
    </row>
    <row r="40" spans="1:4" ht="244.8" x14ac:dyDescent="0.3">
      <c r="A40" s="35" t="s">
        <v>579</v>
      </c>
      <c r="B40" s="35" t="s">
        <v>580</v>
      </c>
      <c r="C40" s="36" t="s">
        <v>581</v>
      </c>
      <c r="D40" s="37"/>
    </row>
    <row r="41" spans="1:4" ht="244.8" x14ac:dyDescent="0.3">
      <c r="A41" s="35" t="s">
        <v>582</v>
      </c>
      <c r="B41" s="35" t="s">
        <v>526</v>
      </c>
      <c r="C41" s="36" t="s">
        <v>583</v>
      </c>
      <c r="D41" s="37"/>
    </row>
    <row r="42" spans="1:4" x14ac:dyDescent="0.3">
      <c r="A42" s="35" t="s">
        <v>584</v>
      </c>
      <c r="B42" s="35" t="s">
        <v>564</v>
      </c>
      <c r="C42" s="36"/>
      <c r="D42" s="37"/>
    </row>
    <row r="43" spans="1:4" x14ac:dyDescent="0.3">
      <c r="A43" s="35" t="s">
        <v>585</v>
      </c>
      <c r="B43" s="35" t="s">
        <v>526</v>
      </c>
      <c r="C43" s="36"/>
      <c r="D43" s="37"/>
    </row>
    <row r="44" spans="1:4" x14ac:dyDescent="0.3">
      <c r="A44" s="35" t="s">
        <v>586</v>
      </c>
      <c r="B44" s="35" t="s">
        <v>526</v>
      </c>
      <c r="C44" s="36"/>
      <c r="D44" s="37"/>
    </row>
    <row r="45" spans="1:4" x14ac:dyDescent="0.3">
      <c r="A45" s="35" t="s">
        <v>587</v>
      </c>
      <c r="B45" s="35" t="s">
        <v>543</v>
      </c>
      <c r="C45" s="36"/>
      <c r="D45" s="37"/>
    </row>
    <row r="46" spans="1:4" x14ac:dyDescent="0.3">
      <c r="A46" s="35" t="s">
        <v>588</v>
      </c>
      <c r="B46" s="35" t="s">
        <v>589</v>
      </c>
      <c r="C46" s="36"/>
      <c r="D46" s="37"/>
    </row>
    <row r="47" spans="1:4" x14ac:dyDescent="0.3">
      <c r="A47" s="35" t="s">
        <v>590</v>
      </c>
      <c r="B47" s="35" t="s">
        <v>591</v>
      </c>
      <c r="C47" s="36"/>
      <c r="D47" s="37"/>
    </row>
    <row r="48" spans="1:4" x14ac:dyDescent="0.3">
      <c r="A48" s="35" t="s">
        <v>592</v>
      </c>
      <c r="B48" s="35" t="s">
        <v>593</v>
      </c>
      <c r="C48" s="36"/>
      <c r="D48" s="37"/>
    </row>
    <row r="49" spans="1:4" x14ac:dyDescent="0.3">
      <c r="A49" s="35" t="s">
        <v>594</v>
      </c>
      <c r="B49" s="35" t="s">
        <v>595</v>
      </c>
      <c r="C49" s="36"/>
      <c r="D49" s="37"/>
    </row>
    <row r="50" spans="1:4" x14ac:dyDescent="0.3">
      <c r="A50" s="35" t="s">
        <v>596</v>
      </c>
      <c r="B50" s="35" t="s">
        <v>589</v>
      </c>
      <c r="C50" s="36"/>
      <c r="D50" s="37"/>
    </row>
    <row r="51" spans="1:4" x14ac:dyDescent="0.3">
      <c r="A51" s="35" t="s">
        <v>597</v>
      </c>
      <c r="B51" s="35" t="s">
        <v>526</v>
      </c>
      <c r="C51" s="36"/>
      <c r="D51" s="37"/>
    </row>
    <row r="52" spans="1:4" x14ac:dyDescent="0.3">
      <c r="A52" s="35" t="s">
        <v>598</v>
      </c>
      <c r="B52" s="35" t="s">
        <v>599</v>
      </c>
      <c r="C52" s="36"/>
      <c r="D52" s="37"/>
    </row>
    <row r="53" spans="1:4" x14ac:dyDescent="0.3">
      <c r="A53" s="35" t="s">
        <v>600</v>
      </c>
      <c r="B53" s="35" t="s">
        <v>537</v>
      </c>
      <c r="C53" s="36"/>
      <c r="D53" s="37"/>
    </row>
    <row r="54" spans="1:4" x14ac:dyDescent="0.3">
      <c r="A54" s="35" t="s">
        <v>601</v>
      </c>
      <c r="B54" s="35" t="s">
        <v>526</v>
      </c>
      <c r="C54" s="36"/>
      <c r="D54" s="37"/>
    </row>
    <row r="55" spans="1:4" x14ac:dyDescent="0.3">
      <c r="A55" s="35" t="s">
        <v>602</v>
      </c>
      <c r="B55" s="35" t="s">
        <v>595</v>
      </c>
      <c r="C55" s="36"/>
      <c r="D55" s="37"/>
    </row>
    <row r="56" spans="1:4" x14ac:dyDescent="0.3">
      <c r="A56" s="35" t="s">
        <v>603</v>
      </c>
      <c r="B56" s="35" t="s">
        <v>604</v>
      </c>
      <c r="C56" s="36"/>
      <c r="D56" s="37"/>
    </row>
    <row r="57" spans="1:4" x14ac:dyDescent="0.3">
      <c r="A57" s="35" t="s">
        <v>605</v>
      </c>
      <c r="B57" s="35" t="s">
        <v>589</v>
      </c>
      <c r="C57" s="36"/>
      <c r="D57" s="37"/>
    </row>
    <row r="58" spans="1:4" x14ac:dyDescent="0.3">
      <c r="A58" s="35" t="s">
        <v>606</v>
      </c>
      <c r="B58" s="35" t="s">
        <v>607</v>
      </c>
      <c r="C58" s="36"/>
      <c r="D58" s="37"/>
    </row>
    <row r="59" spans="1:4" x14ac:dyDescent="0.3">
      <c r="A59" s="35" t="s">
        <v>608</v>
      </c>
      <c r="B59" s="35" t="s">
        <v>604</v>
      </c>
      <c r="C59" s="36"/>
      <c r="D59" s="37"/>
    </row>
    <row r="60" spans="1:4" x14ac:dyDescent="0.3">
      <c r="A60" s="35" t="s">
        <v>609</v>
      </c>
      <c r="B60" s="35" t="s">
        <v>526</v>
      </c>
      <c r="C60" s="36"/>
      <c r="D60" s="37"/>
    </row>
    <row r="61" spans="1:4" x14ac:dyDescent="0.3">
      <c r="A61" s="35" t="s">
        <v>610</v>
      </c>
      <c r="B61" s="35" t="s">
        <v>526</v>
      </c>
      <c r="C61" s="36"/>
      <c r="D61" s="37"/>
    </row>
    <row r="62" spans="1:4" x14ac:dyDescent="0.3">
      <c r="A62" s="35" t="s">
        <v>611</v>
      </c>
      <c r="B62" s="35" t="s">
        <v>530</v>
      </c>
      <c r="C62" s="36"/>
      <c r="D62" s="37"/>
    </row>
    <row r="63" spans="1:4" x14ac:dyDescent="0.3">
      <c r="A63" s="35" t="s">
        <v>612</v>
      </c>
      <c r="B63" s="35" t="s">
        <v>613</v>
      </c>
      <c r="C63" s="36"/>
      <c r="D63" s="37"/>
    </row>
    <row r="64" spans="1:4" x14ac:dyDescent="0.3">
      <c r="A64" s="35" t="s">
        <v>614</v>
      </c>
      <c r="B64" s="35" t="s">
        <v>615</v>
      </c>
      <c r="C64" s="36"/>
      <c r="D64" s="37"/>
    </row>
    <row r="65" spans="1:4" x14ac:dyDescent="0.3">
      <c r="A65" s="35" t="s">
        <v>616</v>
      </c>
      <c r="B65" s="35" t="s">
        <v>617</v>
      </c>
      <c r="C65" s="36"/>
      <c r="D65" s="37"/>
    </row>
    <row r="66" spans="1:4" x14ac:dyDescent="0.3">
      <c r="A66" s="35" t="s">
        <v>618</v>
      </c>
      <c r="B66" s="35" t="s">
        <v>619</v>
      </c>
      <c r="C66" s="36"/>
      <c r="D66" s="37"/>
    </row>
    <row r="67" spans="1:4" x14ac:dyDescent="0.3">
      <c r="A67" s="35" t="s">
        <v>620</v>
      </c>
      <c r="B67" s="35" t="s">
        <v>621</v>
      </c>
      <c r="C67" s="36"/>
      <c r="D67" s="37"/>
    </row>
    <row r="68" spans="1:4" x14ac:dyDescent="0.3">
      <c r="A68" s="35" t="s">
        <v>622</v>
      </c>
      <c r="B68" s="35" t="s">
        <v>623</v>
      </c>
      <c r="C68" s="36"/>
      <c r="D68" s="37"/>
    </row>
    <row r="69" spans="1:4" x14ac:dyDescent="0.3">
      <c r="A69" s="35" t="s">
        <v>624</v>
      </c>
      <c r="B69" s="35" t="s">
        <v>625</v>
      </c>
      <c r="C69" s="36"/>
      <c r="D69" s="37"/>
    </row>
    <row r="70" spans="1:4" x14ac:dyDescent="0.3">
      <c r="A70" s="35" t="s">
        <v>626</v>
      </c>
      <c r="B70" s="35" t="s">
        <v>535</v>
      </c>
      <c r="C70" s="36"/>
      <c r="D70" s="37"/>
    </row>
    <row r="71" spans="1:4" x14ac:dyDescent="0.3">
      <c r="A71" s="35" t="s">
        <v>627</v>
      </c>
      <c r="B71" s="35" t="s">
        <v>593</v>
      </c>
      <c r="C71" s="36"/>
      <c r="D71" s="37"/>
    </row>
    <row r="72" spans="1:4" x14ac:dyDescent="0.3">
      <c r="A72" s="35" t="s">
        <v>628</v>
      </c>
      <c r="B72" s="35" t="s">
        <v>629</v>
      </c>
      <c r="C72" s="36"/>
      <c r="D72" s="37"/>
    </row>
    <row r="73" spans="1:4" x14ac:dyDescent="0.3">
      <c r="A73" s="35" t="s">
        <v>630</v>
      </c>
      <c r="B73" s="35" t="s">
        <v>625</v>
      </c>
      <c r="C73" s="36"/>
      <c r="D73" s="37"/>
    </row>
    <row r="74" spans="1:4" x14ac:dyDescent="0.3">
      <c r="A74" s="35" t="s">
        <v>631</v>
      </c>
      <c r="B74" s="35" t="s">
        <v>625</v>
      </c>
      <c r="C74" s="36"/>
      <c r="D74" s="37"/>
    </row>
    <row r="75" spans="1:4" x14ac:dyDescent="0.3">
      <c r="A75" s="35" t="s">
        <v>632</v>
      </c>
      <c r="B75" s="35" t="s">
        <v>625</v>
      </c>
      <c r="C75" s="36"/>
      <c r="D75" s="37"/>
    </row>
    <row r="76" spans="1:4" x14ac:dyDescent="0.3">
      <c r="A76" s="35" t="s">
        <v>633</v>
      </c>
      <c r="B76" s="35" t="s">
        <v>634</v>
      </c>
      <c r="C76" s="36"/>
      <c r="D76" s="37"/>
    </row>
    <row r="77" spans="1:4" x14ac:dyDescent="0.3">
      <c r="A77" s="35" t="s">
        <v>635</v>
      </c>
      <c r="B77" s="35" t="s">
        <v>526</v>
      </c>
      <c r="C77" s="36"/>
      <c r="D77" s="37"/>
    </row>
    <row r="78" spans="1:4" x14ac:dyDescent="0.3">
      <c r="A78" s="35" t="s">
        <v>636</v>
      </c>
      <c r="B78" s="35" t="s">
        <v>524</v>
      </c>
      <c r="C78" s="36"/>
      <c r="D78" s="37"/>
    </row>
    <row r="79" spans="1:4" x14ac:dyDescent="0.3">
      <c r="A79" s="35" t="s">
        <v>637</v>
      </c>
      <c r="B79" s="35" t="s">
        <v>541</v>
      </c>
      <c r="C79" s="36"/>
      <c r="D79" s="37"/>
    </row>
    <row r="80" spans="1:4" ht="230.4" x14ac:dyDescent="0.3">
      <c r="A80" s="35" t="s">
        <v>638</v>
      </c>
      <c r="B80" s="35" t="s">
        <v>526</v>
      </c>
      <c r="C80" s="36" t="s">
        <v>639</v>
      </c>
      <c r="D80" s="37"/>
    </row>
    <row r="81" spans="1:4" x14ac:dyDescent="0.3">
      <c r="A81" s="35" t="s">
        <v>640</v>
      </c>
      <c r="B81" s="35" t="s">
        <v>541</v>
      </c>
      <c r="C81" s="36"/>
      <c r="D81" s="37"/>
    </row>
    <row r="82" spans="1:4" x14ac:dyDescent="0.3">
      <c r="A82" s="35" t="s">
        <v>641</v>
      </c>
      <c r="B82" s="35" t="s">
        <v>541</v>
      </c>
      <c r="C82" s="36"/>
      <c r="D82" s="37"/>
    </row>
    <row r="83" spans="1:4" x14ac:dyDescent="0.3">
      <c r="A83" s="35" t="s">
        <v>642</v>
      </c>
      <c r="B83" s="35" t="s">
        <v>643</v>
      </c>
      <c r="C83" s="36"/>
      <c r="D83" s="37"/>
    </row>
    <row r="84" spans="1:4" x14ac:dyDescent="0.3">
      <c r="A84" s="35" t="s">
        <v>644</v>
      </c>
      <c r="B84" s="35" t="s">
        <v>530</v>
      </c>
      <c r="C84" s="36"/>
      <c r="D84" s="37"/>
    </row>
    <row r="85" spans="1:4" x14ac:dyDescent="0.3">
      <c r="A85" s="35" t="s">
        <v>645</v>
      </c>
      <c r="B85" s="35" t="s">
        <v>646</v>
      </c>
      <c r="C85" s="36"/>
      <c r="D85" s="37"/>
    </row>
    <row r="86" spans="1:4" x14ac:dyDescent="0.3">
      <c r="A86" s="35" t="s">
        <v>647</v>
      </c>
      <c r="B86" s="35" t="s">
        <v>537</v>
      </c>
      <c r="C86" s="36"/>
      <c r="D86" s="37"/>
    </row>
    <row r="87" spans="1:4" x14ac:dyDescent="0.3">
      <c r="A87" s="35" t="s">
        <v>648</v>
      </c>
      <c r="B87" s="35" t="s">
        <v>649</v>
      </c>
      <c r="C87" s="36"/>
      <c r="D87" s="37"/>
    </row>
    <row r="88" spans="1:4" x14ac:dyDescent="0.3">
      <c r="A88" s="35" t="s">
        <v>650</v>
      </c>
      <c r="B88" s="35" t="s">
        <v>526</v>
      </c>
      <c r="C88" s="36"/>
      <c r="D88" s="37"/>
    </row>
    <row r="89" spans="1:4" x14ac:dyDescent="0.3">
      <c r="A89" s="35" t="s">
        <v>651</v>
      </c>
      <c r="B89" s="35" t="s">
        <v>526</v>
      </c>
      <c r="C89" s="36"/>
      <c r="D89" s="37"/>
    </row>
    <row r="90" spans="1:4" x14ac:dyDescent="0.3">
      <c r="A90" s="35" t="s">
        <v>652</v>
      </c>
      <c r="B90" s="35" t="s">
        <v>526</v>
      </c>
      <c r="C90" s="36"/>
      <c r="D90" s="37"/>
    </row>
    <row r="91" spans="1:4" x14ac:dyDescent="0.3">
      <c r="A91" s="35" t="s">
        <v>653</v>
      </c>
      <c r="B91" s="35" t="s">
        <v>526</v>
      </c>
      <c r="C91" s="36"/>
      <c r="D91" s="37"/>
    </row>
    <row r="92" spans="1:4" x14ac:dyDescent="0.3">
      <c r="A92" s="35" t="s">
        <v>654</v>
      </c>
      <c r="B92" s="35" t="s">
        <v>537</v>
      </c>
      <c r="C92" s="36"/>
      <c r="D92" s="37"/>
    </row>
    <row r="93" spans="1:4" x14ac:dyDescent="0.3">
      <c r="A93" s="35" t="s">
        <v>655</v>
      </c>
      <c r="B93" s="35" t="s">
        <v>656</v>
      </c>
      <c r="C93" s="36"/>
      <c r="D93" s="37"/>
    </row>
    <row r="94" spans="1:4" x14ac:dyDescent="0.3">
      <c r="A94" s="35" t="s">
        <v>657</v>
      </c>
      <c r="B94" s="35" t="s">
        <v>537</v>
      </c>
      <c r="C94" s="36"/>
      <c r="D94" s="37"/>
    </row>
    <row r="95" spans="1:4" x14ac:dyDescent="0.3">
      <c r="A95" s="35" t="s">
        <v>658</v>
      </c>
      <c r="B95" s="35" t="s">
        <v>656</v>
      </c>
      <c r="C95" s="36"/>
      <c r="D95" s="37"/>
    </row>
    <row r="96" spans="1:4" x14ac:dyDescent="0.3">
      <c r="A96" s="35" t="s">
        <v>659</v>
      </c>
      <c r="B96" s="35" t="s">
        <v>541</v>
      </c>
      <c r="C96" s="36"/>
      <c r="D96" s="37"/>
    </row>
    <row r="97" spans="1:4" x14ac:dyDescent="0.3">
      <c r="A97" s="35" t="s">
        <v>660</v>
      </c>
      <c r="B97" s="35" t="s">
        <v>661</v>
      </c>
      <c r="C97" s="36"/>
      <c r="D97" s="37"/>
    </row>
    <row r="98" spans="1:4" x14ac:dyDescent="0.3">
      <c r="A98" s="35" t="s">
        <v>662</v>
      </c>
      <c r="B98" s="35" t="s">
        <v>541</v>
      </c>
      <c r="C98" s="36"/>
      <c r="D98" s="37"/>
    </row>
    <row r="99" spans="1:4" x14ac:dyDescent="0.3">
      <c r="A99" s="35" t="s">
        <v>663</v>
      </c>
      <c r="B99" s="35" t="s">
        <v>661</v>
      </c>
      <c r="C99" s="36"/>
      <c r="D99" s="37"/>
    </row>
    <row r="100" spans="1:4" x14ac:dyDescent="0.3">
      <c r="A100" s="35" t="s">
        <v>664</v>
      </c>
      <c r="B100" s="35" t="s">
        <v>564</v>
      </c>
      <c r="C100" s="36"/>
      <c r="D100" s="37"/>
    </row>
    <row r="101" spans="1:4" x14ac:dyDescent="0.3">
      <c r="A101" s="35" t="s">
        <v>665</v>
      </c>
      <c r="B101" s="35" t="s">
        <v>589</v>
      </c>
      <c r="C101" s="36"/>
      <c r="D101" s="37"/>
    </row>
    <row r="102" spans="1:4" x14ac:dyDescent="0.3">
      <c r="A102" s="35" t="s">
        <v>666</v>
      </c>
      <c r="B102" s="35" t="s">
        <v>526</v>
      </c>
      <c r="C102" s="36"/>
      <c r="D102" s="37"/>
    </row>
    <row r="103" spans="1:4" x14ac:dyDescent="0.3">
      <c r="A103" s="35" t="s">
        <v>667</v>
      </c>
      <c r="B103" s="35" t="s">
        <v>526</v>
      </c>
      <c r="C103" s="36"/>
      <c r="D103" s="37"/>
    </row>
    <row r="104" spans="1:4" x14ac:dyDescent="0.3">
      <c r="A104" s="35" t="s">
        <v>668</v>
      </c>
      <c r="B104" s="35" t="s">
        <v>526</v>
      </c>
      <c r="C104" s="36"/>
      <c r="D104" s="37"/>
    </row>
    <row r="105" spans="1:4" x14ac:dyDescent="0.3">
      <c r="A105" s="35" t="s">
        <v>669</v>
      </c>
      <c r="B105" s="35" t="s">
        <v>526</v>
      </c>
      <c r="C105" s="36"/>
      <c r="D105" s="37"/>
    </row>
    <row r="106" spans="1:4" x14ac:dyDescent="0.3">
      <c r="A106" s="35" t="s">
        <v>670</v>
      </c>
      <c r="B106" s="35" t="s">
        <v>604</v>
      </c>
      <c r="C106" s="36"/>
      <c r="D106" s="37"/>
    </row>
    <row r="107" spans="1:4" x14ac:dyDescent="0.3">
      <c r="A107" s="35" t="s">
        <v>671</v>
      </c>
      <c r="B107" s="35" t="s">
        <v>629</v>
      </c>
      <c r="C107" s="36"/>
      <c r="D107" s="37"/>
    </row>
    <row r="108" spans="1:4" x14ac:dyDescent="0.3">
      <c r="A108" s="35" t="s">
        <v>672</v>
      </c>
      <c r="B108" s="35" t="s">
        <v>673</v>
      </c>
      <c r="C108" s="36"/>
      <c r="D108" s="37"/>
    </row>
    <row r="109" spans="1:4" x14ac:dyDescent="0.3">
      <c r="A109" s="35" t="s">
        <v>674</v>
      </c>
      <c r="B109" s="35" t="s">
        <v>537</v>
      </c>
      <c r="C109" s="36"/>
      <c r="D109" s="37"/>
    </row>
    <row r="110" spans="1:4" x14ac:dyDescent="0.3">
      <c r="A110" s="35" t="s">
        <v>675</v>
      </c>
      <c r="B110" s="35" t="s">
        <v>649</v>
      </c>
      <c r="C110" s="36"/>
      <c r="D110" s="37"/>
    </row>
    <row r="111" spans="1:4" x14ac:dyDescent="0.3">
      <c r="A111" s="35" t="s">
        <v>676</v>
      </c>
      <c r="B111" s="35" t="s">
        <v>677</v>
      </c>
      <c r="C111" s="36"/>
      <c r="D111" s="37"/>
    </row>
    <row r="112" spans="1:4" x14ac:dyDescent="0.3">
      <c r="A112" s="35" t="s">
        <v>678</v>
      </c>
      <c r="B112" s="35" t="s">
        <v>679</v>
      </c>
      <c r="C112" s="36"/>
      <c r="D112" s="37"/>
    </row>
    <row r="113" spans="1:4" x14ac:dyDescent="0.3">
      <c r="A113" s="35" t="s">
        <v>680</v>
      </c>
      <c r="B113" s="35" t="s">
        <v>541</v>
      </c>
      <c r="C113" s="36"/>
      <c r="D113" s="37"/>
    </row>
    <row r="114" spans="1:4" x14ac:dyDescent="0.3">
      <c r="A114" s="35" t="s">
        <v>681</v>
      </c>
      <c r="B114" s="35" t="s">
        <v>661</v>
      </c>
      <c r="C114" s="36"/>
      <c r="D114" s="37"/>
    </row>
    <row r="115" spans="1:4" x14ac:dyDescent="0.3">
      <c r="A115" s="35" t="s">
        <v>682</v>
      </c>
      <c r="B115" s="35" t="s">
        <v>543</v>
      </c>
      <c r="C115" s="36"/>
      <c r="D115" s="37"/>
    </row>
    <row r="116" spans="1:4" x14ac:dyDescent="0.3">
      <c r="A116" s="35" t="s">
        <v>683</v>
      </c>
      <c r="B116" s="35" t="s">
        <v>543</v>
      </c>
      <c r="C116" s="36"/>
      <c r="D116" s="37"/>
    </row>
    <row r="117" spans="1:4" x14ac:dyDescent="0.3">
      <c r="A117" s="35" t="s">
        <v>684</v>
      </c>
      <c r="B117" s="35" t="s">
        <v>543</v>
      </c>
      <c r="C117" s="36"/>
      <c r="D117" s="37"/>
    </row>
    <row r="118" spans="1:4" x14ac:dyDescent="0.3">
      <c r="A118" s="35" t="s">
        <v>685</v>
      </c>
      <c r="B118" s="35" t="s">
        <v>580</v>
      </c>
      <c r="C118" s="36"/>
      <c r="D118" s="37"/>
    </row>
    <row r="119" spans="1:4" x14ac:dyDescent="0.3">
      <c r="A119" s="35" t="s">
        <v>686</v>
      </c>
      <c r="B119" s="35" t="s">
        <v>687</v>
      </c>
      <c r="C119" s="36"/>
      <c r="D119" s="37"/>
    </row>
    <row r="120" spans="1:4" x14ac:dyDescent="0.3">
      <c r="A120" s="35" t="s">
        <v>688</v>
      </c>
      <c r="B120" s="35" t="s">
        <v>543</v>
      </c>
      <c r="C120" s="36"/>
      <c r="D120" s="37"/>
    </row>
    <row r="121" spans="1:4" x14ac:dyDescent="0.3">
      <c r="A121" s="35" t="s">
        <v>689</v>
      </c>
      <c r="B121" s="35" t="s">
        <v>543</v>
      </c>
      <c r="C121" s="36"/>
      <c r="D121" s="37"/>
    </row>
    <row r="122" spans="1:4" x14ac:dyDescent="0.3">
      <c r="A122" s="35" t="s">
        <v>690</v>
      </c>
      <c r="B122" s="35" t="s">
        <v>543</v>
      </c>
      <c r="C122" s="36"/>
      <c r="D122" s="37"/>
    </row>
    <row r="123" spans="1:4" x14ac:dyDescent="0.3">
      <c r="A123" s="35" t="s">
        <v>691</v>
      </c>
      <c r="B123" s="35" t="s">
        <v>543</v>
      </c>
      <c r="C123" s="36"/>
      <c r="D123" s="37"/>
    </row>
    <row r="124" spans="1:4" x14ac:dyDescent="0.3">
      <c r="A124" s="35" t="s">
        <v>692</v>
      </c>
      <c r="B124" s="35" t="s">
        <v>629</v>
      </c>
      <c r="C124" s="36"/>
      <c r="D124" s="37"/>
    </row>
    <row r="125" spans="1:4" x14ac:dyDescent="0.3">
      <c r="A125" s="35" t="s">
        <v>693</v>
      </c>
      <c r="B125" s="35" t="s">
        <v>543</v>
      </c>
      <c r="C125" s="36"/>
      <c r="D125" s="37"/>
    </row>
    <row r="126" spans="1:4" x14ac:dyDescent="0.3">
      <c r="A126" s="35" t="s">
        <v>694</v>
      </c>
      <c r="B126" s="35" t="s">
        <v>543</v>
      </c>
      <c r="C126" s="36"/>
      <c r="D126" s="37"/>
    </row>
    <row r="127" spans="1:4" x14ac:dyDescent="0.3">
      <c r="A127" s="35" t="s">
        <v>695</v>
      </c>
      <c r="B127" s="35" t="s">
        <v>623</v>
      </c>
      <c r="C127" s="36"/>
      <c r="D127" s="37"/>
    </row>
    <row r="128" spans="1:4" x14ac:dyDescent="0.3">
      <c r="A128" s="35" t="s">
        <v>696</v>
      </c>
      <c r="B128" s="35" t="s">
        <v>526</v>
      </c>
      <c r="C128" s="36"/>
      <c r="D128" s="37"/>
    </row>
    <row r="129" spans="1:4" x14ac:dyDescent="0.3">
      <c r="A129" s="35" t="s">
        <v>697</v>
      </c>
      <c r="B129" s="35" t="s">
        <v>526</v>
      </c>
      <c r="C129" s="36"/>
      <c r="D129" s="37"/>
    </row>
    <row r="130" spans="1:4" x14ac:dyDescent="0.3">
      <c r="A130" s="35" t="s">
        <v>698</v>
      </c>
      <c r="B130" s="35" t="s">
        <v>699</v>
      </c>
      <c r="C130" s="36"/>
      <c r="D130" s="37"/>
    </row>
    <row r="131" spans="1:4" x14ac:dyDescent="0.3">
      <c r="A131" s="35" t="s">
        <v>700</v>
      </c>
      <c r="B131" s="35" t="s">
        <v>526</v>
      </c>
      <c r="C131" s="36"/>
      <c r="D131" s="37"/>
    </row>
    <row r="132" spans="1:4" x14ac:dyDescent="0.3">
      <c r="A132" s="35" t="s">
        <v>701</v>
      </c>
      <c r="B132" s="35" t="s">
        <v>537</v>
      </c>
      <c r="C132" s="36"/>
      <c r="D132" s="37"/>
    </row>
    <row r="133" spans="1:4" x14ac:dyDescent="0.3">
      <c r="A133" s="35" t="s">
        <v>702</v>
      </c>
      <c r="B133" s="35" t="s">
        <v>526</v>
      </c>
      <c r="C133" s="36"/>
      <c r="D133" s="37"/>
    </row>
    <row r="134" spans="1:4" x14ac:dyDescent="0.3">
      <c r="A134" s="35" t="s">
        <v>703</v>
      </c>
      <c r="B134" s="35" t="s">
        <v>537</v>
      </c>
      <c r="C134" s="36"/>
      <c r="D134" s="37"/>
    </row>
    <row r="135" spans="1:4" x14ac:dyDescent="0.3">
      <c r="A135" s="35" t="s">
        <v>704</v>
      </c>
      <c r="B135" s="35" t="s">
        <v>526</v>
      </c>
      <c r="C135" s="36"/>
      <c r="D135" s="37"/>
    </row>
    <row r="136" spans="1:4" x14ac:dyDescent="0.3">
      <c r="A136" s="35" t="s">
        <v>705</v>
      </c>
      <c r="B136" s="35" t="s">
        <v>541</v>
      </c>
      <c r="C136" s="36"/>
      <c r="D136" s="37"/>
    </row>
    <row r="137" spans="1:4" x14ac:dyDescent="0.3">
      <c r="A137" s="35" t="s">
        <v>706</v>
      </c>
      <c r="B137" s="35" t="s">
        <v>564</v>
      </c>
      <c r="C137" s="36"/>
      <c r="D137" s="37"/>
    </row>
    <row r="138" spans="1:4" x14ac:dyDescent="0.3">
      <c r="A138" s="35" t="s">
        <v>707</v>
      </c>
      <c r="B138" s="35" t="s">
        <v>526</v>
      </c>
      <c r="C138" s="36"/>
      <c r="D138" s="37"/>
    </row>
    <row r="139" spans="1:4" x14ac:dyDescent="0.3">
      <c r="A139" s="35" t="s">
        <v>708</v>
      </c>
      <c r="B139" s="35" t="s">
        <v>541</v>
      </c>
      <c r="C139" s="36"/>
      <c r="D139" s="37"/>
    </row>
    <row r="140" spans="1:4" x14ac:dyDescent="0.3">
      <c r="A140" s="35" t="s">
        <v>709</v>
      </c>
      <c r="B140" s="35" t="s">
        <v>528</v>
      </c>
      <c r="C140" s="36"/>
      <c r="D140" s="37"/>
    </row>
    <row r="141" spans="1:4" x14ac:dyDescent="0.3">
      <c r="A141" s="35" t="s">
        <v>710</v>
      </c>
      <c r="B141" s="35" t="s">
        <v>711</v>
      </c>
      <c r="C141" s="36"/>
      <c r="D141" s="37"/>
    </row>
    <row r="142" spans="1:4" x14ac:dyDescent="0.3">
      <c r="A142" s="35" t="s">
        <v>712</v>
      </c>
      <c r="B142" s="35" t="s">
        <v>526</v>
      </c>
      <c r="C142" s="36"/>
      <c r="D142" s="37"/>
    </row>
    <row r="143" spans="1:4" x14ac:dyDescent="0.3">
      <c r="A143" s="35" t="s">
        <v>713</v>
      </c>
      <c r="B143" s="35" t="s">
        <v>714</v>
      </c>
      <c r="C143" s="36"/>
      <c r="D143" s="37"/>
    </row>
    <row r="144" spans="1:4" x14ac:dyDescent="0.3">
      <c r="A144" s="35" t="s">
        <v>715</v>
      </c>
      <c r="B144" s="35" t="s">
        <v>526</v>
      </c>
      <c r="C144" s="36"/>
      <c r="D144" s="37"/>
    </row>
    <row r="145" spans="1:4" x14ac:dyDescent="0.3">
      <c r="A145" s="35" t="s">
        <v>716</v>
      </c>
      <c r="B145" s="35" t="s">
        <v>562</v>
      </c>
      <c r="C145" s="36"/>
      <c r="D145" s="37"/>
    </row>
    <row r="146" spans="1:4" x14ac:dyDescent="0.3">
      <c r="A146" s="35" t="s">
        <v>717</v>
      </c>
      <c r="B146" s="35" t="s">
        <v>526</v>
      </c>
      <c r="C146" s="36"/>
      <c r="D146" s="37"/>
    </row>
    <row r="147" spans="1:4" x14ac:dyDescent="0.3">
      <c r="A147" s="35" t="s">
        <v>718</v>
      </c>
      <c r="B147" s="35" t="s">
        <v>719</v>
      </c>
      <c r="C147" s="36"/>
      <c r="D147" s="37"/>
    </row>
    <row r="148" spans="1:4" x14ac:dyDescent="0.3">
      <c r="A148" s="35" t="s">
        <v>720</v>
      </c>
      <c r="B148" s="35" t="s">
        <v>661</v>
      </c>
      <c r="C148" s="36"/>
      <c r="D148" s="37"/>
    </row>
    <row r="149" spans="1:4" x14ac:dyDescent="0.3">
      <c r="A149" s="35" t="s">
        <v>721</v>
      </c>
      <c r="B149" s="35" t="s">
        <v>530</v>
      </c>
      <c r="C149" s="36"/>
      <c r="D149" s="37"/>
    </row>
    <row r="150" spans="1:4" x14ac:dyDescent="0.3">
      <c r="A150" s="35" t="s">
        <v>722</v>
      </c>
      <c r="B150" s="35" t="s">
        <v>604</v>
      </c>
      <c r="C150" s="36"/>
      <c r="D150" s="37"/>
    </row>
    <row r="151" spans="1:4" x14ac:dyDescent="0.3">
      <c r="A151" s="35" t="s">
        <v>723</v>
      </c>
      <c r="B151" s="35" t="s">
        <v>724</v>
      </c>
      <c r="C151" s="36"/>
      <c r="D151" s="37"/>
    </row>
    <row r="152" spans="1:4" x14ac:dyDescent="0.3">
      <c r="A152" s="35" t="s">
        <v>725</v>
      </c>
      <c r="B152" s="35" t="s">
        <v>541</v>
      </c>
      <c r="C152" s="36"/>
      <c r="D152" s="37"/>
    </row>
    <row r="153" spans="1:4" x14ac:dyDescent="0.3">
      <c r="A153" s="35" t="s">
        <v>726</v>
      </c>
      <c r="B153" s="35" t="s">
        <v>727</v>
      </c>
      <c r="C153" s="36"/>
      <c r="D153" s="37"/>
    </row>
    <row r="154" spans="1:4" x14ac:dyDescent="0.3">
      <c r="A154" s="35" t="s">
        <v>728</v>
      </c>
      <c r="B154" s="35" t="s">
        <v>541</v>
      </c>
      <c r="C154" s="36"/>
      <c r="D154" s="37"/>
    </row>
    <row r="155" spans="1:4" x14ac:dyDescent="0.3">
      <c r="A155" s="35" t="s">
        <v>729</v>
      </c>
      <c r="B155" s="35" t="s">
        <v>687</v>
      </c>
      <c r="C155" s="36"/>
      <c r="D155" s="37"/>
    </row>
    <row r="156" spans="1:4" x14ac:dyDescent="0.3">
      <c r="A156" s="35" t="s">
        <v>730</v>
      </c>
      <c r="B156" s="35" t="s">
        <v>541</v>
      </c>
      <c r="C156" s="36"/>
      <c r="D156" s="37"/>
    </row>
    <row r="157" spans="1:4" x14ac:dyDescent="0.3">
      <c r="A157" s="35" t="s">
        <v>731</v>
      </c>
      <c r="B157" s="35" t="s">
        <v>732</v>
      </c>
      <c r="C157" s="36"/>
      <c r="D157" s="37"/>
    </row>
    <row r="158" spans="1:4" x14ac:dyDescent="0.3">
      <c r="A158" s="35" t="s">
        <v>733</v>
      </c>
      <c r="B158" s="35" t="s">
        <v>541</v>
      </c>
      <c r="C158" s="36"/>
      <c r="D158" s="37"/>
    </row>
    <row r="159" spans="1:4" x14ac:dyDescent="0.3">
      <c r="A159" s="35" t="s">
        <v>734</v>
      </c>
      <c r="B159" s="35" t="s">
        <v>735</v>
      </c>
      <c r="C159" s="36"/>
      <c r="D159" s="37"/>
    </row>
    <row r="160" spans="1:4" x14ac:dyDescent="0.3">
      <c r="A160" s="35" t="s">
        <v>736</v>
      </c>
      <c r="B160" s="35" t="s">
        <v>541</v>
      </c>
      <c r="C160" s="36"/>
      <c r="D160" s="37"/>
    </row>
    <row r="161" spans="1:4" x14ac:dyDescent="0.3">
      <c r="A161" s="35" t="s">
        <v>737</v>
      </c>
      <c r="B161" s="35" t="s">
        <v>732</v>
      </c>
      <c r="C161" s="36"/>
      <c r="D161" s="37"/>
    </row>
    <row r="162" spans="1:4" x14ac:dyDescent="0.3">
      <c r="A162" s="35" t="s">
        <v>738</v>
      </c>
      <c r="B162" s="35" t="s">
        <v>541</v>
      </c>
      <c r="C162" s="36"/>
      <c r="D162" s="37"/>
    </row>
    <row r="163" spans="1:4" x14ac:dyDescent="0.3">
      <c r="A163" s="35" t="s">
        <v>739</v>
      </c>
      <c r="B163" s="35" t="s">
        <v>735</v>
      </c>
      <c r="C163" s="36"/>
      <c r="D163" s="37"/>
    </row>
    <row r="164" spans="1:4" x14ac:dyDescent="0.3">
      <c r="A164" s="35" t="s">
        <v>740</v>
      </c>
      <c r="B164" s="35" t="s">
        <v>530</v>
      </c>
      <c r="C164" s="36"/>
      <c r="D164" s="37"/>
    </row>
    <row r="165" spans="1:4" x14ac:dyDescent="0.3">
      <c r="A165" s="35" t="s">
        <v>741</v>
      </c>
      <c r="B165" s="35" t="s">
        <v>537</v>
      </c>
      <c r="C165" s="36"/>
      <c r="D165" s="37"/>
    </row>
    <row r="166" spans="1:4" x14ac:dyDescent="0.3">
      <c r="A166" s="35" t="s">
        <v>742</v>
      </c>
      <c r="B166" s="35" t="s">
        <v>541</v>
      </c>
      <c r="C166" s="36"/>
      <c r="D166" s="37"/>
    </row>
    <row r="167" spans="1:4" x14ac:dyDescent="0.3">
      <c r="A167" s="35" t="s">
        <v>743</v>
      </c>
      <c r="B167" s="35" t="s">
        <v>661</v>
      </c>
      <c r="C167" s="36"/>
      <c r="D167" s="37"/>
    </row>
    <row r="168" spans="1:4" x14ac:dyDescent="0.3">
      <c r="A168" s="35" t="s">
        <v>744</v>
      </c>
      <c r="B168" s="35" t="s">
        <v>541</v>
      </c>
      <c r="C168" s="36"/>
      <c r="D168" s="37"/>
    </row>
    <row r="169" spans="1:4" x14ac:dyDescent="0.3">
      <c r="A169" s="35" t="s">
        <v>745</v>
      </c>
      <c r="B169" s="35" t="s">
        <v>661</v>
      </c>
      <c r="C169" s="36"/>
      <c r="D169" s="37"/>
    </row>
    <row r="170" spans="1:4" x14ac:dyDescent="0.3">
      <c r="A170" s="35" t="s">
        <v>746</v>
      </c>
      <c r="B170" s="35" t="s">
        <v>526</v>
      </c>
      <c r="C170" s="36"/>
      <c r="D170" s="37"/>
    </row>
    <row r="171" spans="1:4" x14ac:dyDescent="0.3">
      <c r="A171" s="35" t="s">
        <v>747</v>
      </c>
      <c r="B171" s="35" t="s">
        <v>526</v>
      </c>
      <c r="C171" s="36"/>
      <c r="D171" s="37"/>
    </row>
    <row r="172" spans="1:4" x14ac:dyDescent="0.3">
      <c r="A172" s="35" t="s">
        <v>748</v>
      </c>
      <c r="B172" s="35" t="s">
        <v>526</v>
      </c>
      <c r="C172" s="36"/>
      <c r="D172" s="37"/>
    </row>
    <row r="173" spans="1:4" x14ac:dyDescent="0.3">
      <c r="A173" s="35" t="s">
        <v>749</v>
      </c>
      <c r="B173" s="35" t="s">
        <v>526</v>
      </c>
      <c r="C173" s="36"/>
      <c r="D173" s="37"/>
    </row>
    <row r="174" spans="1:4" x14ac:dyDescent="0.3">
      <c r="A174" s="35" t="s">
        <v>750</v>
      </c>
      <c r="B174" s="35" t="s">
        <v>541</v>
      </c>
      <c r="C174" s="36"/>
      <c r="D174" s="37"/>
    </row>
    <row r="175" spans="1:4" x14ac:dyDescent="0.3">
      <c r="A175" s="35" t="s">
        <v>751</v>
      </c>
      <c r="B175" s="35" t="s">
        <v>661</v>
      </c>
      <c r="C175" s="36"/>
      <c r="D175" s="37"/>
    </row>
    <row r="176" spans="1:4" x14ac:dyDescent="0.3">
      <c r="A176" s="35" t="s">
        <v>752</v>
      </c>
      <c r="B176" s="35" t="s">
        <v>541</v>
      </c>
      <c r="C176" s="36"/>
      <c r="D176" s="37"/>
    </row>
    <row r="177" spans="1:4" x14ac:dyDescent="0.3">
      <c r="A177" s="35" t="s">
        <v>753</v>
      </c>
      <c r="B177" s="35" t="s">
        <v>661</v>
      </c>
      <c r="C177" s="36"/>
      <c r="D177" s="37"/>
    </row>
    <row r="178" spans="1:4" x14ac:dyDescent="0.3">
      <c r="A178" s="35" t="s">
        <v>754</v>
      </c>
      <c r="B178" s="35" t="s">
        <v>541</v>
      </c>
      <c r="C178" s="36"/>
      <c r="D178" s="37"/>
    </row>
    <row r="179" spans="1:4" x14ac:dyDescent="0.3">
      <c r="A179" s="35" t="s">
        <v>755</v>
      </c>
      <c r="B179" s="35" t="s">
        <v>661</v>
      </c>
      <c r="C179" s="36"/>
      <c r="D179" s="37"/>
    </row>
    <row r="180" spans="1:4" x14ac:dyDescent="0.3">
      <c r="A180" s="35" t="s">
        <v>756</v>
      </c>
      <c r="B180" s="35" t="s">
        <v>541</v>
      </c>
      <c r="C180" s="36"/>
      <c r="D180" s="37"/>
    </row>
    <row r="181" spans="1:4" x14ac:dyDescent="0.3">
      <c r="A181" s="35" t="s">
        <v>757</v>
      </c>
      <c r="B181" s="35" t="s">
        <v>661</v>
      </c>
      <c r="C181" s="36"/>
      <c r="D181" s="37"/>
    </row>
  </sheetData>
  <pageMargins left="0.70866141732283472" right="0.70866141732283472" top="1.7322834645669292" bottom="0.62992125984251968" header="0.31496062992125984" footer="0.31496062992125984"/>
  <pageSetup paperSize="9" fitToHeight="0" orientation="portrait" r:id="rId1"/>
  <headerFooter>
    <oddHeader xml:space="preserve">&amp;L&amp;G&amp;R&amp;12ProVu Vista Display
Integration Test Request-01 (Software)
       Document ID/Version: GTD-001224/A
  Date: 16-09-2026
</oddHeader>
    <oddFooter>&amp;L&amp;12GOP 004, Design and Development 
GOP004-F14 Issue No: 2&amp;R&amp;12&amp;P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aaf2484-3fe9-47d4-be5f-0db8987ea843" xsi:nil="true"/>
    <lcf76f155ced4ddcb4097134ff3c332f xmlns="8a8f8523-86b9-4ed5-98b7-15fa75b7dfe9">
      <Terms xmlns="http://schemas.microsoft.com/office/infopath/2007/PartnerControls"/>
    </lcf76f155ced4ddcb4097134ff3c332f>
    <_Flow_SignoffStatus xmlns="8a8f8523-86b9-4ed5-98b7-15fa75b7dfe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E5721F878313C48AB8BCF4E9976D9AA" ma:contentTypeVersion="19" ma:contentTypeDescription="Create a new document." ma:contentTypeScope="" ma:versionID="5edd8d42dcda21f5da104e6ec140502c">
  <xsd:schema xmlns:xsd="http://www.w3.org/2001/XMLSchema" xmlns:xs="http://www.w3.org/2001/XMLSchema" xmlns:p="http://schemas.microsoft.com/office/2006/metadata/properties" xmlns:ns2="8a8f8523-86b9-4ed5-98b7-15fa75b7dfe9" xmlns:ns3="3aaf2484-3fe9-47d4-be5f-0db8987ea843" targetNamespace="http://schemas.microsoft.com/office/2006/metadata/properties" ma:root="true" ma:fieldsID="5e33df8ff14b46f0cbb56be6a9174baf" ns2:_="" ns3:_="">
    <xsd:import namespace="8a8f8523-86b9-4ed5-98b7-15fa75b7dfe9"/>
    <xsd:import namespace="3aaf2484-3fe9-47d4-be5f-0db8987ea84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8f8523-86b9-4ed5-98b7-15fa75b7df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4aac1ee-5228-46d4-a364-eba4bae53950"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af2484-3fe9-47d4-be5f-0db8987ea84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2d12b611-8fad-4f46-be08-70efc8a7ca86}" ma:internalName="TaxCatchAll" ma:showField="CatchAllData" ma:web="3aaf2484-3fe9-47d4-be5f-0db8987ea8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F681CD-33B9-4D53-A18A-544CDE250CC7}">
  <ds:schemaRefs>
    <ds:schemaRef ds:uri="http://schemas.microsoft.com/sharepoint/v3/contenttype/forms"/>
  </ds:schemaRefs>
</ds:datastoreItem>
</file>

<file path=customXml/itemProps2.xml><?xml version="1.0" encoding="utf-8"?>
<ds:datastoreItem xmlns:ds="http://schemas.openxmlformats.org/officeDocument/2006/customXml" ds:itemID="{6D292BD3-A8D1-4DAD-9DB3-B9A49ED3609B}">
  <ds:schemaRefs>
    <ds:schemaRef ds:uri="3aaf2484-3fe9-47d4-be5f-0db8987ea843"/>
    <ds:schemaRef ds:uri="http://schemas.openxmlformats.org/package/2006/metadata/core-properties"/>
    <ds:schemaRef ds:uri="http://purl.org/dc/dcmitype/"/>
    <ds:schemaRef ds:uri="http://schemas.microsoft.com/office/2006/documentManagement/types"/>
    <ds:schemaRef ds:uri="http://www.w3.org/XML/1998/namespace"/>
    <ds:schemaRef ds:uri="http://schemas.microsoft.com/office/2006/metadata/properties"/>
    <ds:schemaRef ds:uri="http://purl.org/dc/elements/1.1/"/>
    <ds:schemaRef ds:uri="http://purl.org/dc/terms/"/>
    <ds:schemaRef ds:uri="http://schemas.microsoft.com/office/infopath/2007/PartnerControls"/>
    <ds:schemaRef ds:uri="8a8f8523-86b9-4ed5-98b7-15fa75b7dfe9"/>
  </ds:schemaRefs>
</ds:datastoreItem>
</file>

<file path=customXml/itemProps3.xml><?xml version="1.0" encoding="utf-8"?>
<ds:datastoreItem xmlns:ds="http://schemas.openxmlformats.org/officeDocument/2006/customXml" ds:itemID="{1B819D24-1B33-4E71-9822-FC8B279149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8f8523-86b9-4ed5-98b7-15fa75b7dfe9"/>
    <ds:schemaRef ds:uri="3aaf2484-3fe9-47d4-be5f-0db8987ea8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CoverPage</vt:lpstr>
      <vt:lpstr>About </vt:lpstr>
      <vt:lpstr>Test Script</vt:lpstr>
      <vt:lpstr>Latency Test Record</vt:lpstr>
      <vt:lpstr>Aspect ratio Test</vt:lpstr>
      <vt:lpstr>Default Configuration Broncho</vt:lpstr>
      <vt:lpstr>'About '!Print_Area</vt:lpstr>
      <vt:lpstr>CoverPage!Print_Area</vt:lpstr>
      <vt:lpstr>'Test Script'!Print_Area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Abhishek</dc:creator>
  <cp:keywords/>
  <dc:description>ProvU Vista display Software Integration Test Request - 01</dc:description>
  <cp:lastModifiedBy>Ayush Pareek</cp:lastModifiedBy>
  <cp:revision/>
  <cp:lastPrinted>2026-09-16T04:39:04Z</cp:lastPrinted>
  <dcterms:created xsi:type="dcterms:W3CDTF">2015-06-05T18:19:34Z</dcterms:created>
  <dcterms:modified xsi:type="dcterms:W3CDTF">2026-09-25T03:38:00Z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22aa8a-63d8-4890-953f-1b438f48f6cb_Enabled">
    <vt:lpwstr>true</vt:lpwstr>
  </property>
  <property fmtid="{D5CDD505-2E9C-101B-9397-08002B2CF9AE}" pid="3" name="MSIP_Label_5122aa8a-63d8-4890-953f-1b438f48f6cb_SetDate">
    <vt:lpwstr>2023-08-07T04:42:34Z</vt:lpwstr>
  </property>
  <property fmtid="{D5CDD505-2E9C-101B-9397-08002B2CF9AE}" pid="4" name="MSIP_Label_5122aa8a-63d8-4890-953f-1b438f48f6cb_Method">
    <vt:lpwstr>Standard</vt:lpwstr>
  </property>
  <property fmtid="{D5CDD505-2E9C-101B-9397-08002B2CF9AE}" pid="5" name="MSIP_Label_5122aa8a-63d8-4890-953f-1b438f48f6cb_Name">
    <vt:lpwstr>defa4170-0d19-0005-0004-bc88714345d2</vt:lpwstr>
  </property>
  <property fmtid="{D5CDD505-2E9C-101B-9397-08002B2CF9AE}" pid="6" name="MSIP_Label_5122aa8a-63d8-4890-953f-1b438f48f6cb_SiteId">
    <vt:lpwstr>fdbe9f57-3e2d-42ae-bc9f-77a00cf549de</vt:lpwstr>
  </property>
  <property fmtid="{D5CDD505-2E9C-101B-9397-08002B2CF9AE}" pid="7" name="MSIP_Label_5122aa8a-63d8-4890-953f-1b438f48f6cb_ActionId">
    <vt:lpwstr>bc7d992f-7b60-4055-aeb4-c01bbcb7317c</vt:lpwstr>
  </property>
  <property fmtid="{D5CDD505-2E9C-101B-9397-08002B2CF9AE}" pid="8" name="MSIP_Label_5122aa8a-63d8-4890-953f-1b438f48f6cb_ContentBits">
    <vt:lpwstr>0</vt:lpwstr>
  </property>
  <property fmtid="{D5CDD505-2E9C-101B-9397-08002B2CF9AE}" pid="9" name="ContentTypeId">
    <vt:lpwstr>0x010100AE5721F878313C48AB8BCF4E9976D9AA</vt:lpwstr>
  </property>
  <property fmtid="{D5CDD505-2E9C-101B-9397-08002B2CF9AE}" pid="10" name="Context Creator">
    <vt:lpwstr>Windchill Admin</vt:lpwstr>
  </property>
  <property fmtid="{D5CDD505-2E9C-101B-9397-08002B2CF9AE}" pid="11" name="Context Create Timestamp">
    <vt:lpwstr>07-06-2023 16:59:34</vt:lpwstr>
  </property>
  <property fmtid="{D5CDD505-2E9C-101B-9397-08002B2CF9AE}" pid="12" name="iterationObid">
    <vt:lpwstr>OR:wt.doc.WTDocument:37357159</vt:lpwstr>
  </property>
  <property fmtid="{D5CDD505-2E9C-101B-9397-08002B2CF9AE}" pid="13" name="Created On">
    <vt:lpwstr>18-08-2026 11:08:09</vt:lpwstr>
  </property>
  <property fmtid="{D5CDD505-2E9C-101B-9397-08002B2CF9AE}" pid="14" name="wtname">
    <vt:lpwstr>ProvU Vista display Software Integration Test Request - 01</vt:lpwstr>
  </property>
  <property fmtid="{D5CDD505-2E9C-101B-9397-08002B2CF9AE}" pid="15" name="URL">
    <vt:lpwstr>https://fchill1.flexicare.com/Windchill/servlet/WindchillGW/wt.fv.master.StandardMasterService/doDirectDownload/GTD-001224%20Software%20Integration%20Test%20Request%20-%2001.xlsx?folderId=35221215&amp;ft=FF&amp;userid=4827843&amp;adId=37357168&amp;fileName=000000008f21d0&amp;refsize=84285&amp;mime=application%2Fvnd.openxmlformats-officedocument.spreadsheetml.sheet&amp;mk=wt.fv.master.StandardMasterService&amp;c=4&amp;riid=-1&amp;sT=1790307433&amp;sign=ATeGCcha1hPgni7BHomzWg1zgn4Y9YFnWQKT3RACZvE%3D&amp;site=https%3A%2F%2Ffchill1.flexicare.com%2FWindchill%2Fservlet%2FWindchillGW&amp;AUTH_CODE=HmacSHA256&amp;isProxy=true</vt:lpwstr>
  </property>
  <property fmtid="{D5CDD505-2E9C-101B-9397-08002B2CF9AE}" pid="16" name="Modified By">
    <vt:lpwstr>Abhishek Shukla</vt:lpwstr>
  </property>
  <property fmtid="{D5CDD505-2E9C-101B-9397-08002B2CF9AE}" pid="17" name="Type">
    <vt:lpwstr>Generic Technical Document (GTD)</vt:lpwstr>
  </property>
  <property fmtid="{D5CDD505-2E9C-101B-9397-08002B2CF9AE}" pid="18" name="RevisionInfo">
    <vt:lpwstr>A</vt:lpwstr>
  </property>
  <property fmtid="{D5CDD505-2E9C-101B-9397-08002B2CF9AE}" pid="19" name="Context Last Modified Timestamp">
    <vt:lpwstr>31-10-2023 22:04:24</vt:lpwstr>
  </property>
  <property fmtid="{D5CDD505-2E9C-101B-9397-08002B2CF9AE}" pid="20" name="Context Number">
    <vt:lpwstr/>
  </property>
  <property fmtid="{D5CDD505-2E9C-101B-9397-08002B2CF9AE}" pid="21" name="Document number">
    <vt:lpwstr>GTD-001224</vt:lpwstr>
  </property>
  <property fmtid="{D5CDD505-2E9C-101B-9397-08002B2CF9AE}" pid="22" name="organization">
    <vt:lpwstr>Flexicare</vt:lpwstr>
  </property>
  <property fmtid="{D5CDD505-2E9C-101B-9397-08002B2CF9AE}" pid="23" name="context">
    <vt:lpwstr>155 - ProVu Accessories</vt:lpwstr>
  </property>
  <property fmtid="{D5CDD505-2E9C-101B-9397-08002B2CF9AE}" pid="24" name="Created By">
    <vt:lpwstr>Abhishek Shukla</vt:lpwstr>
  </property>
  <property fmtid="{D5CDD505-2E9C-101B-9397-08002B2CF9AE}" pid="25" name="Context Template">
    <vt:lpwstr>Flexicare Product Template1</vt:lpwstr>
  </property>
  <property fmtid="{D5CDD505-2E9C-101B-9397-08002B2CF9AE}" pid="26" name="Modified On">
    <vt:lpwstr>16-09-2026 10:13:23</vt:lpwstr>
  </property>
  <property fmtid="{D5CDD505-2E9C-101B-9397-08002B2CF9AE}" pid="27" name="lifeCycleState">
    <vt:lpwstr>Preproduction</vt:lpwstr>
  </property>
  <property fmtid="{D5CDD505-2E9C-101B-9397-08002B2CF9AE}" pid="28" name="obid">
    <vt:lpwstr>VR:wt.doc.WTDocument:36611839:895244855-1683632717428-454096398-3-157-22-195@fchill1.flexicare.com</vt:lpwstr>
  </property>
  <property fmtid="{D5CDD505-2E9C-101B-9397-08002B2CF9AE}" pid="29" name="versionInfo">
    <vt:lpwstr>A.8</vt:lpwstr>
  </property>
</Properties>
</file>