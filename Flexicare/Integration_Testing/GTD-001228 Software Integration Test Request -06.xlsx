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ush.Pareek\Documents\Windchill\Product\155 - ProVu Accessories\Documents\Design\Mindteck Test Scripts\"/>
    </mc:Choice>
  </mc:AlternateContent>
  <xr:revisionPtr revIDLastSave="0" documentId="8_{BD32F1B2-C7B7-440B-A312-B9696B102DDE}" xr6:coauthVersionLast="47" xr6:coauthVersionMax="47" xr10:uidLastSave="{00000000-0000-0000-0000-000000000000}"/>
  <bookViews>
    <workbookView xWindow="-108" yWindow="-108" windowWidth="23256" windowHeight="12456" activeTab="1" xr2:uid="{00000000-000D-0000-FFFF-FFFF00000000}"/>
  </bookViews>
  <sheets>
    <sheet name="CoverPage" sheetId="6" r:id="rId1"/>
    <sheet name="About " sheetId="7" r:id="rId2"/>
    <sheet name="Test Script" sheetId="3" r:id="rId3"/>
    <sheet name="references" sheetId="5" r:id="rId4"/>
  </sheets>
  <definedNames>
    <definedName name="_xlnm._FilterDatabase" localSheetId="2" hidden="1">'Test Script'!$A$2:$D$64</definedName>
    <definedName name="_xlnm.Print_Area" localSheetId="0">CoverPage!$A$1:$F$40</definedName>
    <definedName name="_xlnm.Print_Area" localSheetId="2">'Test Script'!$A$1:$F$78</definedName>
    <definedName name="_xlnm.Print_Titles" localSheetId="2">'Test Script'!$1:$2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6" i="3" l="1"/>
  <c r="A14" i="3"/>
  <c r="A15" i="3" s="1"/>
  <c r="A17" i="3" s="1"/>
  <c r="A18" i="3" s="1"/>
  <c r="A19" i="3" s="1"/>
  <c r="A20" i="3" s="1"/>
  <c r="A21" i="3" s="1"/>
  <c r="A22" i="3" s="1"/>
  <c r="A9" i="3"/>
  <c r="A10" i="3" s="1"/>
  <c r="A11" i="3" s="1"/>
  <c r="A12" i="3" s="1"/>
  <c r="A13" i="3" s="1"/>
  <c r="A1" i="3"/>
  <c r="A24" i="3" l="1"/>
  <c r="A25" i="3" s="1"/>
  <c r="A26" i="3" l="1"/>
  <c r="A27" i="3" s="1"/>
  <c r="A28" i="3" s="1"/>
  <c r="A30" i="3" s="1"/>
  <c r="A31" i="3" s="1"/>
  <c r="A32" i="3" s="1"/>
  <c r="A33" i="3" s="1"/>
  <c r="A35" i="3" s="1"/>
  <c r="A36" i="3" s="1"/>
  <c r="A37" i="3" s="1"/>
  <c r="A38" i="3" s="1"/>
  <c r="A39" i="3" s="1"/>
  <c r="A41" i="3" s="1"/>
  <c r="A43" i="3" s="1"/>
  <c r="A44" i="3" s="1"/>
  <c r="A45" i="3" l="1"/>
  <c r="A46" i="3" s="1"/>
  <c r="A47" i="3" s="1"/>
  <c r="A49" i="3" s="1"/>
  <c r="A51" i="3" s="1"/>
  <c r="A52" i="3" s="1"/>
  <c r="A54" i="3" s="1"/>
  <c r="A55" i="3" s="1"/>
  <c r="A57" i="3" s="1"/>
  <c r="A59" i="3" l="1"/>
  <c r="A58" i="3"/>
  <c r="A60" i="3" s="1"/>
  <c r="A61" i="3" s="1"/>
  <c r="A63" i="3" s="1"/>
  <c r="A64" i="3" s="1"/>
  <c r="A66" i="3" s="1"/>
  <c r="A68" i="3" s="1"/>
  <c r="A69" i="3" s="1"/>
  <c r="A70" i="3" s="1"/>
  <c r="A72" i="3" s="1"/>
  <c r="A73" i="3" s="1"/>
  <c r="A75" i="3" s="1"/>
  <c r="A76" i="3" s="1"/>
  <c r="A77" i="3" s="1"/>
  <c r="A78" i="3" s="1"/>
</calcChain>
</file>

<file path=xl/sharedStrings.xml><?xml version="1.0" encoding="utf-8"?>
<sst xmlns="http://schemas.openxmlformats.org/spreadsheetml/2006/main" count="274" uniqueCount="262">
  <si>
    <t>Project:</t>
  </si>
  <si>
    <t>Document ID/Version:</t>
  </si>
  <si>
    <t>DOCUMENT HISTORY</t>
  </si>
  <si>
    <t>Version</t>
  </si>
  <si>
    <t>Document Changes</t>
  </si>
  <si>
    <t>Author</t>
  </si>
  <si>
    <t>Date</t>
  </si>
  <si>
    <t>A</t>
  </si>
  <si>
    <t>Initial release</t>
  </si>
  <si>
    <t>Associated Documents</t>
  </si>
  <si>
    <t xml:space="preserve">Document No </t>
  </si>
  <si>
    <t>Document Title</t>
  </si>
  <si>
    <t>Attachment</t>
  </si>
  <si>
    <t>Test Request Information</t>
  </si>
  <si>
    <t>Revision</t>
  </si>
  <si>
    <t>Reference</t>
  </si>
  <si>
    <t xml:space="preserve">Test objective </t>
  </si>
  <si>
    <t>Test Coverage</t>
  </si>
  <si>
    <t>Test Execution Instructions</t>
  </si>
  <si>
    <t>Test environment</t>
  </si>
  <si>
    <t>Definitions or Acronyms Used</t>
  </si>
  <si>
    <t>Instruments &amp; Tools</t>
  </si>
  <si>
    <t>Fail/Pass Criteria</t>
  </si>
  <si>
    <t xml:space="preserve">Test Report Reference: </t>
  </si>
  <si>
    <t>Comments:</t>
  </si>
  <si>
    <t>Test Case No.</t>
  </si>
  <si>
    <t>Test Descriptions</t>
  </si>
  <si>
    <t>Expected Result</t>
  </si>
  <si>
    <t>Actual Result</t>
  </si>
  <si>
    <t>The following steps verify the displayed software and hardware version information.</t>
  </si>
  <si>
    <t>Power on the device and complete the initial configuration until the Welcome page is displayed.</t>
  </si>
  <si>
    <t>The device powers on successfully and displays the Welcome page.</t>
  </si>
  <si>
    <t>Did the device power on successfully and display the Welcome page? _____</t>
  </si>
  <si>
    <t>Navigate to the Device Information page.</t>
  </si>
  <si>
    <t>The Device Information page opens successfully.</t>
  </si>
  <si>
    <t>Did the Device Information page open successfully? _____</t>
  </si>
  <si>
    <t>Verify that the Device Information page displays the following version information:
1. OS Build Version
2. Application Version
3. Hardware Version
4. FPGA Version</t>
  </si>
  <si>
    <t>The device displays the OS Build, Application, Hardware and FPGA version information without any missing values.</t>
  </si>
  <si>
    <t>Did the device display all required version information? _____
Record the displayed versions:
OS Build Version: _____
Application Version: _____
Hardware Version: _____
FPGA Version: _____</t>
  </si>
  <si>
    <t>Verify that the displayed version information matches the version information specified on the About sheet.</t>
  </si>
  <si>
    <t>All displayed version information matches the version information specified on the About sheet.</t>
  </si>
  <si>
    <t>Did all displayed version information match the About sheet? _____</t>
  </si>
  <si>
    <t>Obtain the test software bundles supplied with this test method.</t>
  </si>
  <si>
    <t>The serial connection is established, root login succeeds and the command is accepted without an error.</t>
  </si>
  <si>
    <t>Power on the device.</t>
  </si>
  <si>
    <t>The device powers on and completes the boot process successfully.</t>
  </si>
  <si>
    <t>Did the device power on and complete the boot process successfully? _____</t>
  </si>
  <si>
    <t>Navigate to the Settings screen and verify that the Service menu remains unavailable until a user logs in.</t>
  </si>
  <si>
    <t>The Service menu is unavailable before user login.</t>
  </si>
  <si>
    <t>Did the Service menu remain unavailable before user login? _____</t>
  </si>
  <si>
    <t>Navigate to the Device Information page and verify that the displayed software version matches the version recorded during installation.</t>
  </si>
  <si>
    <t>The software version displayed on the Device Information page matches the version recorded during installation.</t>
  </si>
  <si>
    <t>Did the device accept the release bundle and start the upgrade? _____</t>
  </si>
  <si>
    <t>Complete the installation and record the software version displayed during the upgrade. Navigate to the Device Information page and compare the displayed version with the recorded installation version.</t>
  </si>
  <si>
    <t>The installation completes successfully, and the version on the Device Information page matches the version recorded during installation.</t>
  </si>
  <si>
    <t>Power-cycle the device and verify that it completes the boot process.</t>
  </si>
  <si>
    <t>The device boots successfully using the previously installed software.</t>
  </si>
  <si>
    <t>Removal of the USB drive during installation does not interrupt the installation because the package has already been copied to the device. The upgrade completes successfully.</t>
  </si>
  <si>
    <t>The device restarts successfully and boots into the installed software version.</t>
  </si>
  <si>
    <t>The command completes successfully and identifies the active partition.</t>
  </si>
  <si>
    <t>The device boots successfully after the interrupted installation.</t>
  </si>
  <si>
    <t>Did the device boot successfully after the interrupted installation? _____</t>
  </si>
  <si>
    <t>The previously active partition remains active, and the inactive partition targeted by the interrupted installation is marked as 'bad'.</t>
  </si>
  <si>
    <t>The device indicates a battery level below 20%.</t>
  </si>
  <si>
    <t>Extract the software bundle and open the manifest file using a text editor.</t>
  </si>
  <si>
    <t>The bundle is extracted successfully and the manifest file can be opened.</t>
  </si>
  <si>
    <t>GTD-001228:  Software Integration Test Request -06</t>
  </si>
  <si>
    <t>155 - ProVu Accessories</t>
  </si>
  <si>
    <t>Ayush Pareek</t>
  </si>
  <si>
    <t>SRS-000053</t>
  </si>
  <si>
    <t>ProVu Vista Display –SOFTWARE REQUIREMENT SPECIFICATION</t>
  </si>
  <si>
    <t>GTD-000993</t>
  </si>
  <si>
    <t xml:space="preserve"> PROVU2 LARGE DISPLAY Software Test Plan</t>
  </si>
  <si>
    <t>ProVu Vista Display – Software Integration Test Request - 06</t>
  </si>
  <si>
    <t xml:space="preserve"> GTD-001228/A</t>
  </si>
  <si>
    <t>Description and Summary</t>
  </si>
  <si>
    <t>This is a release bundle. The release software contains the required EEPROM driver changes including kernel configuration.</t>
  </si>
  <si>
    <t>Did the EEPROM device appear under the specified 1-Wire control path? _____
Record the path and device entry: _____</t>
  </si>
  <si>
    <t>Did the device detect removal of the USB drive? _____
Did the device display expected error message? _____
Record the displayed message: _____</t>
  </si>
  <si>
    <t>The partition previously marked as 'bad' is programmed successfully and becomes the active boot partition.</t>
  </si>
  <si>
    <t>After three consecutive boot interruptions, the device switches to and boots from the secondary partition.</t>
  </si>
  <si>
    <t>Did the indicated battery level fall below 20%? _____
Record the battery level: _____ %</t>
  </si>
  <si>
    <t>The device shall restart successfully</t>
  </si>
  <si>
    <t>UpgradeBundle-InvalidManifest-CorrectSha256</t>
  </si>
  <si>
    <t>UpgradeBundle-ReleaseUSB</t>
  </si>
  <si>
    <t>UpgradeBundle-OlderSoftwarePackage</t>
  </si>
  <si>
    <t>UpgradeBundle-InvalidPCB-ID</t>
  </si>
  <si>
    <t xml:space="preserve"> UpgradeBundle-InvalidManifest</t>
  </si>
  <si>
    <t>UpgradeBundle-IncorrectName</t>
  </si>
  <si>
    <t>UpgradeBundle-InvalidSizeLow</t>
  </si>
  <si>
    <t>UpgradeBundle-InvalidSizeHigh</t>
  </si>
  <si>
    <t>UpgradeBundle-InvalidSignature</t>
  </si>
  <si>
    <t>n/a</t>
  </si>
  <si>
    <t>TBD</t>
  </si>
  <si>
    <t>Upgrade the device using the software bundle located in the folder named 'UpgradeBundle-ReleaseUSB'.</t>
  </si>
  <si>
    <t>UpgradeBundle-NoEEPROMDriver</t>
  </si>
  <si>
    <t>This is a test bundle. This is having a earlier release version just to check, software detects the Older version and notify user.</t>
  </si>
  <si>
    <t>This is a test bundle, provides invalid PCB ID configuration for testing.</t>
  </si>
  <si>
    <t>This is a test bundle, modifies the manifest contents but not update the sha256.</t>
  </si>
  <si>
    <t>This is a test bundle, modifies the bundle name</t>
  </si>
  <si>
    <t>This is a test bundle, modifies the bundle contents to reduce the size.</t>
  </si>
  <si>
    <t>This is a test bundle, modifies the bundle contents to increase the size.</t>
  </si>
  <si>
    <t>This is a test bundle, uses the different signature to sign the bundle.</t>
  </si>
  <si>
    <t>From serial terminal, run command
lsblk</t>
  </si>
  <si>
    <t>The specified partitions shall be available</t>
  </si>
  <si>
    <t>The command output shall display the current eMMC (mmc0) partitions</t>
  </si>
  <si>
    <t>This is a test bundle, this does not have Bronchoscope EEPROM driver. Using this test bundle first we will verify that software does not detect the EEPROM</t>
  </si>
  <si>
    <t>This is a test bundle. This software package modifies the manifest contents, recalculates the SHA-256 checksum, and updates the checksum value</t>
  </si>
  <si>
    <t>Save all captured screenshots and log files using the applicable test-step number for easy identification</t>
  </si>
  <si>
    <t>The test shall be considered passed if the actual results meet the expected results specified in the ‘Test Script’ sheet</t>
  </si>
  <si>
    <t>This test script verifies the software upgrade mechanism and file system protections.</t>
  </si>
  <si>
    <t>Run the following command in the serial terminal and compare the partition status with the result recorded before the interrupted installation:
rauc status</t>
  </si>
  <si>
    <t>Run the following command in the serial terminal and verify the status of the partition previously marked as 'bad':
rauc status</t>
  </si>
  <si>
    <t>Name</t>
  </si>
  <si>
    <t>Location</t>
  </si>
  <si>
    <t>Description</t>
  </si>
  <si>
    <t>Repository Name: GTD-001228
Folder Name: provu2_test_suite / GTD-001228</t>
  </si>
  <si>
    <t>https://dev.azure.com/FlexicareDevOps/ProVu%2015/_git/provu2_test_suite?version=Gbmain</t>
  </si>
  <si>
    <t>The manifest contains all the specified parameters</t>
  </si>
  <si>
    <t>Log in as a Standard user account (create if no account created) and log in as a standard user.</t>
  </si>
  <si>
    <t>Create a service user account if not created.</t>
  </si>
  <si>
    <t>1. Log in as Standard User
2. set the color adjustment to maximum value for VL camera
3. Save the configuration and logout</t>
  </si>
  <si>
    <t>Test ID: STS-ProVuVista-Integration-06-000010
Software Test: SRS-SEC-SUP-1030-05, SRS-SEC-SUP-1030-01, SRS-SEC-SUP-1870
The following steps verify that the software upgrade can handle the driver and kernel-level updates.</t>
  </si>
  <si>
    <t>The required test software bundles are available for test execution.</t>
  </si>
  <si>
    <t>Setup step completed. No verification response is required.</t>
  </si>
  <si>
    <t>Connect the USB-to-UART serial cable and configure the serial terminal baud rate to 1.5 Mbps.
Log in with the username 'root' and a blank password.
Run the following command to set the kernel log level:
dmesg -n 2</t>
  </si>
  <si>
    <t>Copy the upgrade file to the USB drive from software bundles provided with the test method under folder name 'UpgradeBundle-NoEEPROMDriver'.</t>
  </si>
  <si>
    <t>The specified upgrade file is copied to the USB drive successfully.</t>
  </si>
  <si>
    <t>Did the specified upgrade file copy to the USB drive successfully? _____</t>
  </si>
  <si>
    <t>The Service menu remains unavailable to the Standard user.</t>
  </si>
  <si>
    <t>Did the Service menu remain unavailable to the Standard user? _____</t>
  </si>
  <si>
    <t>Confirm the installation prompt and verify that a progress bar showing installation status in percentage displayed.
When the upgrade complete prompt appears, select 'OK' to restart the device.
Note: Check "references" sheet for information over prompts</t>
  </si>
  <si>
    <t>The installation progress bar displays the installation percentage. The device displays a “Success” message, records event ID 171 in the event log, and restarts after “OK” is selected.</t>
  </si>
  <si>
    <t>Did the displayed software version match the version recorded during installation? _____
Record the displayed software version: _____</t>
  </si>
  <si>
    <t>Connect a bronchoscope containing an EEPROM and power cycle the device. Run the following command:
i2cdetect -y 5
Verify that the output shows device address 0x18.
Note: This step verifies that the bronchoscope EEPROM responds on I2C bus 5 at address 0x18. Because the driver is not installed, the EEPROM is not bound to the driver.</t>
  </si>
  <si>
    <t>The command output displays the bronchoscope EEPROM address 0x18 on I2C bus 5.</t>
  </si>
  <si>
    <t>Did the installation complete successfully? _____
Did the displayed version match the recorded installation version? _____
Record the installation version: _____
Record the Device Information version: _____</t>
  </si>
  <si>
    <t>Reconnect the bronchoscope containing EEPROM, power cycle the device and verify that the EEPROM device entry appears under the 1-Wire control path.
Exact path: /sys/bus/w1/devices/2d-xxxxxx
Note: The serial number appeared under devices can change, as it depends on the EEPROM unique ID</t>
  </si>
  <si>
    <t>The EEPROM device is detected under the specified 1-Wire control path.</t>
  </si>
  <si>
    <t>Test ID: STS-ProVuVista-Integration-06-000020
Software Test: SRS-SEC-SUP-1610, SRS-SEC-SUP-1970, SRS-SEC-SUP-1590, SRS-SEC-SUP-1030-02
The following steps verify that the software upgrade can detect bundle tampering/modification.</t>
  </si>
  <si>
    <t>The device shall reject the upgrade bundle due to invalid signature.
The device shall display an error prompt with message
"The software upgrade package is corrupt.
Please use correct software."
The failure event shall be recorded in event log with event ID 173.</t>
  </si>
  <si>
    <t>The device shall reject the upgrade bundle due to invalid size.
The device shall display an error prompt with message
"The software upgrade package is corrupt.
Please use correct software."
The failure event shall be recorded in event log with event ID 173.</t>
  </si>
  <si>
    <t>The device shall reject the upgrade bundle due to invalid name.
The device shall display an error prompt with message
"The software upgrade package is corrupt.
Please use correct software."
The failure event shall be recorded in event log with event ID 173.</t>
  </si>
  <si>
    <t>Verify that device displays the required file name (update-bundle-provu.zip) to the user with error message.</t>
  </si>
  <si>
    <t>The device displays the required file name, “update-bundle-provu.zip”, in the error message.</t>
  </si>
  <si>
    <t>Test ID: STS-ProVuVista-Integration-06-000030
Software Test: SRS-SEC-SUP-1030-03
The following steps verify that the software upgrade can detect the USB removal while upgrade package is copying into device.</t>
  </si>
  <si>
    <t>The device shall detect the USB media removal.
The device shall show the error message
"Error updating the software. Please try again or view Error Log."
The device shall record the error event in log with ID 172</t>
  </si>
  <si>
    <t>Did the device boot successfully using the previously installed software? _____</t>
  </si>
  <si>
    <t>When the upgrade complete prompt appears, select 'OK' to restart the device.</t>
  </si>
  <si>
    <t>Did the device restart successfully and boot into the installed software version? _____
Record the installed version: _____</t>
  </si>
  <si>
    <t>Test ID: STS-ProVuVista-Integration-06-000040
Software Test: SRS-SEC-SUP-1030-03
The following steps verify that the software upgrade can handle the power interruption.</t>
  </si>
  <si>
    <t>Remove the battery, power the device using the external power adapter and run the following command in the serial terminal:
rauc status
Record the currently active partition.
Note: refer the sheet "references" for partition table</t>
  </si>
  <si>
    <t>Did the 'rauc status' command complete successfully? _____
Record the active partition: _____
Attach or record the command output: _____</t>
  </si>
  <si>
    <t>Using the same upgrade file, initiate and complete another the software upgrade without interrupting power.</t>
  </si>
  <si>
    <t>Test ID: STS-ProVuVista-Integration-06-000040
Software Test: SRS-SEC-SUP-1810
The following steps verify that the software upgrade can detect failure with a partition and switch to other partition after three attempts.</t>
  </si>
  <si>
    <t>During boot, interrupt power while the progress bar is displayed. Restore power and repeat the boot interruption three times. After the third interruption, restore power, allow the device to boot and run:
rauc status</t>
  </si>
  <si>
    <t>Did the device switch to the secondary partition after three boot interruptions? _____
Did the device boot successfully from the secondary partition? _____
Record the active partition and RAUC status: _____</t>
  </si>
  <si>
    <t>Test ID: STS-ProVuVista-Integration-06-000050
Software Test: SRS-SEC-SUP-1030-04
The following steps verify that the software upgrade can be done if device battery is less than 20%.</t>
  </si>
  <si>
    <t>1. Connect the battery and discharge it until the indicated battery level is below 20%.
2. Disconnect the power adapter from device
Note: Do not discharge the battery below 5%, as after it the device enters ship mode</t>
  </si>
  <si>
    <t>1. Disconnect the battery I2C lines and power cycle the device.
2. Attempt the software upgrade using the release bundle provided in the folder “UpgradeBundle-ReleaseUSB”.</t>
  </si>
  <si>
    <t>The device permits the software upgrade when the battery is faulty.</t>
  </si>
  <si>
    <t>Did the device permit the software upgrade when the battery was faulty? _____</t>
  </si>
  <si>
    <t>1. Connect a battery with a reported battery health below 70%.
2. Attempt the software upgrade using the release bundle provided in the folder “UpgradeBundle-ReleaseUSB”.</t>
  </si>
  <si>
    <t>The device permits the software upgrade when the battery is degraded.</t>
  </si>
  <si>
    <t>1. Connect the power adapter.
2. Remove the battery from the device.
3. Attempt the software upgrade using the release bundle provided in the folder “UpgradeBundle-ReleaseUSB”.</t>
  </si>
  <si>
    <t>The device permits the software upgrade when the battery is not connected and the power adapter is connected.</t>
  </si>
  <si>
    <t>Did the device permit the software upgrade when the battery was not connected and the power adapter was connected? _____</t>
  </si>
  <si>
    <t>Test ID: STS-ProVuVista-Integration-06-000060
Software Test: SRS-SEC-SUP-1030-02, SRS-SEC-SUP-2190
The following steps verify that the software upgrade can detect the tampering with the bundle contents.</t>
  </si>
  <si>
    <t>The device shall reject the upgrade bundle.
The device shall display an error prompt with message
"The software upgrade package is corrupt.
Please use correct software."
The failure event shall be recorded in event log with event ID 173.</t>
  </si>
  <si>
    <t>Test ID: STS-ProVuVista-Integration-06-000070
Software Test: SRS-SEC-SUP-2190
The following steps verify that the software upgrade package contains a list of compatible hardware, software versions and upgrade bundle file size.</t>
  </si>
  <si>
    <t>Verify that the manifest file contains the
1. Hardware PCB IDs (provu_pcb_ids)
2. Software Version (bundle_version)
3. Upgrade File Size (bundle_size)</t>
  </si>
  <si>
    <t>Test ID: STS-ProVuVista-Integration-06-000080
Software Test: SRS-EXT-ITF-1490, SRS-SEC-SUP-1990
The following steps verify that the software upgrade notifies the user for incompatible hardware and software versions but allow user to upgrade the device.</t>
  </si>
  <si>
    <t>The device shall not reject the upgrade and upgrade shall complete successfully.
The device shall display an error prompt with message
"The software upgrade package failed.
Software package not compatible with hardware version."
The failure event shall be recorded in event log with event ID 174.</t>
  </si>
  <si>
    <t>The device shall not reject the upgrade and upgrade shall complete successfully.
The device shall display an error prompt with message
"Software update package is older.
Please use correct software."
The failure event shall be recorded in event log with event ID 176.</t>
  </si>
  <si>
    <t>Test ID: STS-ProVuVista-Integration-06-000090
Software Test: SRS-SEC-SUP-1800
The following steps verify that the software upgrade programmes only the inactive root filesystem partition and does not modify the data partition.</t>
  </si>
  <si>
    <t>1. Create and save a screen recording, record its file name
2. Create a standard user account.
3. Record the Event log IDs (any one of them)
4. Record the Error log IDs (any one of them)</t>
  </si>
  <si>
    <t>The screen recording is saved, a Standard user account is created, and the selected event and error log IDs are recorded.</t>
  </si>
  <si>
    <t>1. Log in as Admin user
2. Change the Image control brightness to maximum for bronchoscope.
3. Save the configuration and logout the Admin</t>
  </si>
  <si>
    <t>The bronchoscope image-control brightness is set to the maximum value and saved successfully for the Administrator account.</t>
  </si>
  <si>
    <t>The VL camera colour adjustment is set to the maximum value and saved successfully for the Standard user account.</t>
  </si>
  <si>
    <t>The Service user account is created successfully.</t>
  </si>
  <si>
    <t>Did the Service user account get created successfully? _____</t>
  </si>
  <si>
    <t>The upgrade completes successfully. The saved recording, event logs, error logs, user accounts, and image-control settings remain available and unchanged after the upgrade.</t>
  </si>
  <si>
    <t>Test ID: STS-ProVuVista-Integration-06-000100
Software Test: SRS-SEC-SUP-1620
The following steps verify that power button is disabled during the software upgrade.</t>
  </si>
  <si>
    <t>The device remains powered on and does not enter sleep mode while the software upgrade is in progress.</t>
  </si>
  <si>
    <t>Did the device remain powered on and avoid entering sleep mode while the software upgrade was in progress? _____</t>
  </si>
  <si>
    <t>Test ID: STS-ProVuVista-Integration-06-000110
Software Test: SRS-SEC-SUP-2190
The following steps verify that the software upgrade can handle if manifest file modified and checksum updated as per new contents.</t>
  </si>
  <si>
    <t>Test ID: STS-ProVuVista-Integration-06-000120
Software Test: SRS-SEC-HARD-1320
The following steps verify that the root file system is mounted as read-only</t>
  </si>
  <si>
    <t>Using the serial terminal, run the following commands
echo "Hello World" &gt; /tmp/testfile.txt
ls //list files
Note: // defines the comments not part of command</t>
  </si>
  <si>
    <t>The file is created successfully in /tmp.</t>
  </si>
  <si>
    <t>Did the file get created successfully in /tmp? _____
Record the command output: _____</t>
  </si>
  <si>
    <t>Now run the following commands and record output
cp -f /tmp/testfile.txt /usr/bin
cp -f /tmp/testfile.txt /usr/
cp -f /tmp/testfile.txt /etc/
cp -f /tmp/testfile.txt /bin/
cp -f /tmp/testfile.txt /usr/lib/
cp -f /tmp/testfile.txt /lib/</t>
  </si>
  <si>
    <t>Each copy command fails because the target root file system locations are read-only.</t>
  </si>
  <si>
    <t>Did each copy command fail? _____
Record the command outputs: _____</t>
  </si>
  <si>
    <t>Test ID: STS-ProVuVista-Integration-06-000130
Software Test: SRS-SEC-SUP-1980
The following steps verify the eMMC partitions</t>
  </si>
  <si>
    <t>Did the command output show the eMMC (mmc0) partition blocks? _____
Record the command output: _____</t>
  </si>
  <si>
    <t>Verify that below partitions are available
Part0: Label: u-boot
Part1: Label: rootfsA
Part2: Label: rootfsB
Part3: Label: userdata</t>
  </si>
  <si>
    <t>Did the command output list all specified partitions and labels? _____
Record the command output: _____</t>
  </si>
  <si>
    <t>Test ID: STS-ProVuVista-Integration-06-000140
Software Test: SRS-SEC-USB-1510
The following steps verify the software allows only camera devices over micro-USB ports and storage devices on USB-A port</t>
  </si>
  <si>
    <t>Connect USB mouse Bluetooth dongle to the USB-A port</t>
  </si>
  <si>
    <t>The device does not detect the mouse, and the mouse remains unusable.</t>
  </si>
  <si>
    <t>Did the mouse remain undetected and unusable when connected to the USB-A port? _____</t>
  </si>
  <si>
    <t>Connect USB mouse Bluetooth dongle with the Micro-USB port, with the help of a USB-A to Micro-USB port converter</t>
  </si>
  <si>
    <t>Did the mouse remain undetected and unusable when connected to the Micro-USB port? _____</t>
  </si>
  <si>
    <t>Connect a USB-A camera to the USB-A port.</t>
  </si>
  <si>
    <t>The device does not display the camera feed when the USB-A camera is connected to the USB-A port.</t>
  </si>
  <si>
    <t>Did the device prevent the camera feed from being displayed? _____</t>
  </si>
  <si>
    <t>Connect a USB flash drive to the Micro-USB camera port.</t>
  </si>
  <si>
    <t>The device does not display the USB storage-device icon when the USB flash drive is connected to the Micro-USB camera port.</t>
  </si>
  <si>
    <t>Did the device prevent the USB storage-device icon from being displayed in the top-right corner? _____</t>
  </si>
  <si>
    <t>Did the device reject the modified-manifest bundle with the updated SHA-256 checksum? _____
Did the device display the specified error message? _____
Did the event log record upgrade failure event ID 173? _____
Record the displayed message and event ID: _____</t>
  </si>
  <si>
    <t>Did the 10-second power-button hold restart the device? _____
Did the device subsequently boot successfully? _____
Record the observed power action: _____</t>
  </si>
  <si>
    <t>Did the upgrade complete successfully? _____
Did the saved recording remain available? _____
Did the existing event and error logs remain available? _____
Did the Standard user log in successfully? _____
Did the Administrator user log in successfully? _____
Did the Service user log in successfully? _____
Did the Standard and Administrator user image-control settings remain unchanged? _____
Record evidence or file references: _____</t>
  </si>
  <si>
    <t>Did the VL camera colour adjustment change to the maximum value? _____
Did the Standard user account retain the saved colour setting after logout and login? _____</t>
  </si>
  <si>
    <t>Did the bronchoscope image-control brightness change to the maximum value? _____
Did the Administrator account retain the saved brightness setting after logout and login? _____</t>
  </si>
  <si>
    <t>Did the screen recording save successfully? _____
Record the file name: _____
Did the Standard user account get created successfully? _____
Record an event ID: _____
Record an error ID: _____</t>
  </si>
  <si>
    <t>Did the manifest contain all required fields? _____
Record the PCB ID: _____
Record the software version: _____
Record the upgrade file size: _____</t>
  </si>
  <si>
    <t>Did the bundle extract successfully? _____
Did the manifest file open successfully? _____</t>
  </si>
  <si>
    <t>Did the device reject the invalid-manifest bundle? _____
Did the device display the specified error message? _____
Did the event log record upgrade failure event ID 173? _____
Record the displayed message and event ID: _____</t>
  </si>
  <si>
    <t>Did the partition previously marked as 'bad' programme successfully? _____
Did the partition become the active boot partition? _____
Record the partition status: _____</t>
  </si>
  <si>
    <t>Did the previously active partition remain active? _____
Did the target inactive partition become marked as 'bad'? _____
Record the partition status: _____</t>
  </si>
  <si>
    <t>Did the installation continue after the USB drive was removed? _____
Did the software upgrade complete successfully? _____
Record the installation version: _____</t>
  </si>
  <si>
    <t>Did the error message display the required file name, “update-bundle-provu.zip”? _____
Record the displayed message: _____</t>
  </si>
  <si>
    <t>Did the device reject the incorrect-name bundle? _____
Did the device display the specified error message? _____
Did the event log record upgrade failure event ID 173? _____
Record the displayed message and event ID: _____</t>
  </si>
  <si>
    <t>Did the device reject the invalid-size bundle? _____
Did the device display the specified error message? _____
Did the event log record upgrade failure event ID 173? _____
Record the displayed message and event ID: _____</t>
  </si>
  <si>
    <t>Did the device reject the invalid-signature bundle? _____
Did the device display the specified error message? _____
Did the event log record upgrade failure event ID 173? _____
Record the displayed message and event ID: _____</t>
  </si>
  <si>
    <t>Did the command output display EEPROM device address 0x18 on I2C bus 5? _____
Record the command output: _____</t>
  </si>
  <si>
    <t>Did the installation progress bar display the installation percentage? _____
Did the software upgrade complete successfully without errors? _____
Did the device display the “Success” message? _____
Did the event log record event ID 171? _____
Did the device restart after “OK” was selected? _____
Record the software version displayed during installation: _____</t>
  </si>
  <si>
    <t>Did the Service user account get created successfully and did login succeed? _____
Did the installation confirmation prompt display the upgrade-file software version? _____
Record the displayed upgrade-file software version: _____</t>
  </si>
  <si>
    <t>Did the serial connection establish successfully and did the root login succeed? _____
Did the command execute without errors? _____</t>
  </si>
  <si>
    <t>Did the device permit the software upgrade when the battery was degraded? _____</t>
  </si>
  <si>
    <r>
      <rPr>
        <b/>
        <i/>
        <sz val="12"/>
        <rFont val="Arial"/>
        <family val="2"/>
      </rPr>
      <t>Software Upgrade</t>
    </r>
    <r>
      <rPr>
        <i/>
        <sz val="12"/>
        <rFont val="Arial"/>
        <family val="2"/>
      </rPr>
      <t xml:space="preserve">: SRS-SEC-SUP-1030-01, SRS-SEC-SUP-1030-02, SRS-SEC-SUP-1030-03, SRS-SEC-SUP-1030-04, SRS-SEC-SUP-1030-05, SRS-SEC-SUP-1590, SRS-SEC-SUP-1610, SRS-SEC-SUP-1620, SRS-SEC-SUP-1800, SRS-SEC-SUP-1810, SRS-SEC-SUP-1870, SRS-SEC-SUP-1970, SRS-SEC-SUP-1980, SRS-SEC-SUP-2180, SRS-SEC-SUP-2190, SRS-SEC-SUP-1990, SRS-EXT-ITF-1490
</t>
    </r>
    <r>
      <rPr>
        <b/>
        <i/>
        <sz val="12"/>
        <rFont val="Arial"/>
        <family val="2"/>
      </rPr>
      <t xml:space="preserve">Security, and privacy protection: </t>
    </r>
    <r>
      <rPr>
        <i/>
        <sz val="12"/>
        <rFont val="Arial"/>
        <family val="2"/>
      </rPr>
      <t>SRS-SEC-HARD-1320, SRS-SEC-USB-1510</t>
    </r>
  </si>
  <si>
    <t>Log in using the administrator credentials and create a service user account.
Log out of the administrator account, then log in using the service user account.
Connect the USB drive and initiate the  software upgrade.
Confirm the prompts until the installation confirmation prompt appears.
Verify that the installation confirmation appears on the screen showing the version of the upgrade file.
Record the software version and confirm the installation.</t>
  </si>
  <si>
    <t>The device accepts the specified release bundle and starts the  software upgrade.</t>
  </si>
  <si>
    <t>Copy the software upgrade file provided in the folder UpgradeBundle-InvalidSignature and attempt the  software upgrade.
Note: this step checks the software upgrade can detect if upgrade package modified during transfer</t>
  </si>
  <si>
    <t>Copy the software upgrade file provided in the folder UpgradeBundle-InvalidSizeHigh and attempt the  software upgrade.
Note: this step checks the software upgrade can detect if upgrade package modified during transfer</t>
  </si>
  <si>
    <t>Copy the software upgrade file provided in the folder UpgradeBundle-InvalidSizeLow and attempt the  software upgrade.
Note: this step checks the software upgrade can detect if upgrade package modified during transfer</t>
  </si>
  <si>
    <t>Copy the software upgrade file provided in the folder UpgradeBundle-IncorrectName and attempt the  software upgrade.
Note: this step checks the software upgrade can detect if upgrade package modified during transfer</t>
  </si>
  <si>
    <t>Copy the software upgrade file provided in the folder UpgradeBundle-ReleaseUSB and attempt the  software upgrade.
While the software displays the "download-prompt" then remove the USB drive</t>
  </si>
  <si>
    <t>Initiate the  software upgrade again. After the software has been downloaded and while the device displays the 'Installing software' prompt, remove the USB drive.
Record the installation version displayed during upgrade.</t>
  </si>
  <si>
    <t>Using the same upgrade file provided in the folder name UpgradeBundle-ReleaseUSB, initiate the  software upgrade. While the device displays the 'Installing software' prompt, interrupt power and then restore power to the device.</t>
  </si>
  <si>
    <t>The  software upgrade completes successfully and the device boots successfully.</t>
  </si>
  <si>
    <t>Did the  software upgrade complete successfully? _____
Did the device boot successfully? _____</t>
  </si>
  <si>
    <t>With the battery level below 20%, initiate an upgrade using the release bundle provided in the folder name UpgradeBundle-ReleaseUSB.</t>
  </si>
  <si>
    <t>The device permits the  software upgrade at a battery level below 20%.</t>
  </si>
  <si>
    <t>Did the device permit the  software upgrade at a battery level below 20%? _____</t>
  </si>
  <si>
    <t>Copy the software upgrade file provided in the folder UpgradeBundle-InvalidManifest and attempt the  software upgrade.</t>
  </si>
  <si>
    <t>Copy the software upgrade file provided in the folder UpgradeBundle-InvalidPCB-ID and attempt the  software upgrade.</t>
  </si>
  <si>
    <t>Did the  software upgrade complete successfully? _____
Did the event log record the upgrade failure with event ID 174 ? _____
Record the displayed message and event identifier: _____</t>
  </si>
  <si>
    <t>Copy the software upgrade file provided in the folder UpgradeBundle-OlderSoftwarePackage and attempt the  software upgrade.</t>
  </si>
  <si>
    <t>Copy the release bundle to a USB drive and complete the  software upgrade.
After the upgrade, verify that:
(a) the previously saved screen recording remains available;
(b) all existing event and error logs remain available; and
(c) the standard user can log in using the account created before the upgrade and color adjustment change for standard user remains same
(d) Login as Admin and check image adjustment done by admin account are saved
(e) Login as service user and check service account can be accessed.</t>
  </si>
  <si>
    <t>1. Copy the software upgrade file provided in the folder UpgradeBundle-ReleaseUSB and attempt the  software upgrade.
2. While the software upgrade in progress, press the power button and check device does not enter sleep mode or power off</t>
  </si>
  <si>
    <t>During the upgrade, press and hold the power button for 10 seconds.
Note: Checking that if the  software upgrade becomes unresponsive then using power button device can be restarted forcibly</t>
  </si>
  <si>
    <t>Copy the software upgrade file provided in the folder UpgradeBundle-InvalidManifest-CorrectSha256 and attempt the  software upgrade.
Note: this bundle updates the manifest contents and place the correct SHA-256 of the modified contents.</t>
  </si>
  <si>
    <t>Copy the upgrade file provided in the folder name UpgradeBundle-ReleaseUSB to USB drive and program the device.</t>
  </si>
  <si>
    <t>Did the  software upgrade complete successfully? _____
Did the device boot successfully? _____
Record the software version displayed under information screen ________</t>
  </si>
  <si>
    <t>The test executor shall have understanding of the device software upgrade using USB flash drive
The test executor shall understand the use of minicom or equivalent serial terminal. 
The test executor shall be able to execute and read the Linux commands.</t>
  </si>
  <si>
    <t>1. Minicom or PuTTY terminal software
2. High-speed USB-to-UART cable capable of supporting a baud rate of 1.5 Mbps
3. USB flash drive
4. A PC running a Linux operating system is recommended.</t>
  </si>
  <si>
    <t>The Service user account is created successfully and the user can log in.
The installation confirmation prompt displays the upgrade-file software version.</t>
  </si>
  <si>
    <t>Go to Event Logs and check for event ID 170</t>
  </si>
  <si>
    <t>The software shall log the Event with ID 170 and message "Software upgrade initiated"</t>
  </si>
  <si>
    <t>Did software log the event? 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</si>
</sst>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 mmmm\ yyyy;@"/>
  </numFmts>
  <fonts count="36"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Arial"/>
      <family val="2"/>
      <charset val="1"/>
    </font>
    <font>
      <i/>
      <sz val="12"/>
      <color theme="1"/>
      <name val="Arial"/>
      <family val="2"/>
      <charset val="1"/>
    </font>
    <font>
      <sz val="12"/>
      <color theme="1"/>
      <name val="Arial"/>
      <family val="2"/>
      <charset val="1"/>
    </font>
    <font>
      <sz val="11"/>
      <color rgb="FF000000"/>
      <name val="Calibri"/>
      <family val="2"/>
      <charset val="1"/>
    </font>
    <font>
      <sz val="12"/>
      <name val="Arial"/>
      <family val="2"/>
      <charset val="1"/>
    </font>
    <font>
      <sz val="11"/>
      <name val="Calibri"/>
      <family val="2"/>
      <scheme val="minor"/>
    </font>
    <font>
      <sz val="22"/>
      <color theme="1"/>
      <name val="Arial"/>
      <family val="2"/>
    </font>
    <font>
      <b/>
      <sz val="22"/>
      <color theme="1"/>
      <name val="Arial"/>
      <family val="2"/>
    </font>
    <font>
      <b/>
      <sz val="22"/>
      <name val="Arial"/>
      <family val="2"/>
    </font>
    <font>
      <sz val="22"/>
      <color theme="1"/>
      <name val="Calibri"/>
      <family val="2"/>
      <scheme val="minor"/>
    </font>
    <font>
      <b/>
      <sz val="22"/>
      <color rgb="FF000000"/>
      <name val="Calibri"/>
      <family val="2"/>
      <scheme val="minor"/>
    </font>
    <font>
      <b/>
      <sz val="22"/>
      <color theme="1"/>
      <name val="Calibri"/>
      <family val="2"/>
      <scheme val="minor"/>
    </font>
    <font>
      <i/>
      <sz val="22"/>
      <color theme="1"/>
      <name val="Calibri"/>
      <family val="2"/>
      <scheme val="minor"/>
    </font>
    <font>
      <i/>
      <sz val="22"/>
      <color rgb="FF000000"/>
      <name val="Calibri"/>
      <family val="2"/>
      <scheme val="minor"/>
    </font>
    <font>
      <i/>
      <sz val="12"/>
      <name val="Arial"/>
      <family val="2"/>
    </font>
    <font>
      <b/>
      <i/>
      <sz val="12"/>
      <name val="Arial"/>
      <family val="2"/>
    </font>
    <font>
      <b/>
      <i/>
      <sz val="12"/>
      <color theme="1"/>
      <name val="Arial"/>
      <family val="2"/>
    </font>
    <font>
      <b/>
      <sz val="16"/>
      <name val="Arial"/>
      <family val="2"/>
    </font>
    <font>
      <b/>
      <sz val="16"/>
      <color theme="1"/>
      <name val="Arial"/>
      <family val="2"/>
    </font>
    <font>
      <sz val="22"/>
      <color theme="1"/>
      <name val="Calibri"/>
      <family val="2"/>
      <charset val="1"/>
    </font>
    <font>
      <b/>
      <sz val="22"/>
      <color theme="1"/>
      <name val="Calibri"/>
      <family val="2"/>
    </font>
    <font>
      <b/>
      <i/>
      <sz val="22"/>
      <color theme="1"/>
      <name val="Calibri"/>
      <family val="2"/>
      <scheme val="minor"/>
    </font>
    <font>
      <u/>
      <sz val="11"/>
      <color theme="10"/>
      <name val="Calibri"/>
      <family val="2"/>
      <charset val="1"/>
    </font>
    <font>
      <u/>
      <sz val="22"/>
      <color theme="10"/>
      <name val="Calibri"/>
      <family val="2"/>
      <charset val="1"/>
    </font>
  </fonts>
  <fills count="10">
    <fill>
      <patternFill patternType="none"/>
    </fill>
    <fill>
      <patternFill patternType="gray125"/>
    </fill>
    <fill>
      <patternFill patternType="solid">
        <fgColor theme="4" tint="0.39988402966399123"/>
        <bgColor rgb="FFBDD7EE"/>
      </patternFill>
    </fill>
    <fill>
      <patternFill patternType="solid">
        <fgColor theme="0"/>
        <bgColor rgb="FFFFFFCC"/>
      </patternFill>
    </fill>
    <fill>
      <patternFill patternType="solid">
        <fgColor theme="4" tint="0.59987182226020086"/>
        <bgColor rgb="FFD0CECE"/>
      </patternFill>
    </fill>
    <fill>
      <patternFill patternType="solid">
        <fgColor theme="4" tint="0.79989013336588644"/>
        <bgColor rgb="FFD9D9D9"/>
      </patternFill>
    </fill>
    <fill>
      <patternFill patternType="solid">
        <fgColor theme="2" tint="-9.9978637043366805E-2"/>
        <bgColor indexed="64"/>
      </patternFill>
    </fill>
    <fill>
      <patternFill patternType="solid">
        <fgColor rgb="FFD9D9D9"/>
        <bgColor indexed="64"/>
      </patternFill>
    </fill>
    <fill>
      <patternFill patternType="solid">
        <fgColor theme="2"/>
        <bgColor indexed="64"/>
      </patternFill>
    </fill>
    <fill>
      <patternFill patternType="solid">
        <fgColor theme="4" tint="0.59999389629810485"/>
        <bgColor rgb="FFD9D9D9"/>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4" fillId="0" borderId="0" applyNumberFormat="0" applyFill="0" applyBorder="0" applyAlignment="0" applyProtection="0"/>
  </cellStyleXfs>
  <cellXfs count="92">
    <xf numFmtId="0" fontId="0" fillId="0" borderId="0" xfId="0"/>
    <xf numFmtId="0" fontId="12" fillId="0" borderId="1" xfId="0" applyFont="1" applyBorder="1" applyAlignment="1">
      <alignment vertical="center"/>
    </xf>
    <xf numFmtId="15" fontId="13" fillId="0" borderId="1" xfId="0" applyNumberFormat="1" applyFont="1" applyBorder="1" applyAlignment="1">
      <alignment horizontal="right" vertical="center"/>
    </xf>
    <xf numFmtId="0" fontId="14" fillId="0" borderId="0" xfId="0" applyFont="1" applyAlignment="1">
      <alignment wrapText="1"/>
    </xf>
    <xf numFmtId="0" fontId="16" fillId="0" borderId="0" xfId="0" applyFont="1" applyAlignment="1">
      <alignment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7" fillId="0" borderId="1" xfId="0" applyFont="1" applyBorder="1" applyAlignment="1">
      <alignment horizontal="left" vertical="center" wrapText="1"/>
    </xf>
    <xf numFmtId="0" fontId="18" fillId="0" borderId="0" xfId="0" applyFont="1"/>
    <xf numFmtId="0" fontId="18" fillId="0" borderId="0" xfId="0" applyFont="1" applyAlignment="1">
      <alignment horizontal="center"/>
    </xf>
    <xf numFmtId="0" fontId="21" fillId="0" borderId="0" xfId="0" applyFont="1"/>
    <xf numFmtId="0" fontId="12" fillId="5" borderId="1" xfId="0" applyFont="1" applyFill="1" applyBorder="1" applyAlignment="1">
      <alignment horizontal="lef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2" xfId="0" applyFont="1" applyBorder="1" applyAlignment="1">
      <alignment horizontal="center" vertical="center" wrapText="1"/>
    </xf>
    <xf numFmtId="0" fontId="15" fillId="0" borderId="2"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19" fillId="0" borderId="0" xfId="0" applyFont="1" applyAlignment="1">
      <alignment horizontal="left" vertical="top"/>
    </xf>
    <xf numFmtId="0" fontId="0" fillId="0" borderId="0" xfId="0" applyAlignment="1">
      <alignment horizontal="center"/>
    </xf>
    <xf numFmtId="0" fontId="22" fillId="7" borderId="1" xfId="0" applyFont="1" applyFill="1" applyBorder="1" applyAlignment="1">
      <alignment horizontal="center" vertical="center" wrapText="1"/>
    </xf>
    <xf numFmtId="0" fontId="12" fillId="3" borderId="1" xfId="0" applyFont="1" applyFill="1" applyBorder="1" applyAlignment="1">
      <alignment horizontal="left" vertical="center"/>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21"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29" fillId="0" borderId="0" xfId="0" applyFont="1" applyAlignment="1">
      <alignment vertical="center"/>
    </xf>
    <xf numFmtId="0" fontId="30" fillId="0" borderId="0" xfId="0" applyFont="1"/>
    <xf numFmtId="0" fontId="30" fillId="0" borderId="0" xfId="0" applyFont="1" applyAlignment="1">
      <alignment vertical="center"/>
    </xf>
    <xf numFmtId="0" fontId="22" fillId="7" borderId="1" xfId="0" applyFont="1" applyFill="1" applyBorder="1" applyAlignment="1">
      <alignment vertical="center" wrapText="1"/>
    </xf>
    <xf numFmtId="0" fontId="22" fillId="0" borderId="0" xfId="0" applyFont="1" applyAlignment="1">
      <alignment vertical="center" wrapText="1"/>
    </xf>
    <xf numFmtId="0" fontId="23" fillId="0" borderId="1" xfId="0" applyFont="1" applyBorder="1" applyAlignment="1">
      <alignment horizontal="center" vertical="center" wrapText="1"/>
    </xf>
    <xf numFmtId="0" fontId="6" fillId="0" borderId="1" xfId="0" applyFont="1" applyBorder="1" applyAlignment="1">
      <alignment horizontal="left" vertical="center" wrapText="1"/>
    </xf>
    <xf numFmtId="0" fontId="25" fillId="0" borderId="1" xfId="0" quotePrefix="1" applyFont="1" applyBorder="1" applyAlignment="1">
      <alignment horizontal="left" vertical="center" wrapText="1"/>
    </xf>
    <xf numFmtId="0" fontId="25" fillId="0" borderId="1" xfId="0" applyFont="1" applyBorder="1" applyAlignment="1">
      <alignment horizontal="left" vertical="center" wrapText="1"/>
    </xf>
    <xf numFmtId="0" fontId="31" fillId="0" borderId="1" xfId="0" applyFont="1" applyBorder="1" applyAlignment="1">
      <alignment vertical="center" wrapText="1"/>
    </xf>
    <xf numFmtId="0" fontId="32" fillId="6" borderId="1" xfId="0" applyFont="1" applyFill="1" applyBorder="1"/>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Border="1" applyAlignment="1">
      <alignment vertical="center" wrapText="1"/>
    </xf>
    <xf numFmtId="0" fontId="1" fillId="0" borderId="1" xfId="0" applyFont="1" applyBorder="1" applyAlignment="1">
      <alignment horizontal="left" vertical="center" wrapText="1"/>
    </xf>
    <xf numFmtId="0" fontId="22" fillId="7" borderId="6" xfId="0" applyFont="1" applyFill="1" applyBorder="1" applyAlignment="1">
      <alignment horizontal="left" vertical="center" wrapText="1"/>
    </xf>
    <xf numFmtId="0" fontId="9"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9" fillId="0" borderId="0" xfId="0" applyFont="1" applyFill="1" applyBorder="1" applyAlignment="1">
      <alignment vertical="top"/>
    </xf>
    <xf numFmtId="0" fontId="33" fillId="6" borderId="1" xfId="0" applyFont="1" applyFill="1" applyBorder="1" applyAlignment="1">
      <alignment horizontal="left" vertical="center" wrapText="1"/>
    </xf>
    <xf numFmtId="0" fontId="35" fillId="0" borderId="5" xfId="1" applyFont="1" applyBorder="1" applyAlignment="1">
      <alignment horizontal="left" vertical="center"/>
    </xf>
    <xf numFmtId="0" fontId="31" fillId="0" borderId="3" xfId="0" applyFont="1" applyBorder="1" applyAlignment="1">
      <alignment horizontal="left" vertical="center"/>
    </xf>
    <xf numFmtId="0" fontId="31" fillId="0" borderId="4" xfId="0" applyFont="1" applyBorder="1" applyAlignment="1">
      <alignment horizontal="left" vertical="center"/>
    </xf>
    <xf numFmtId="0" fontId="24" fillId="0" borderId="1" xfId="0" applyFont="1" applyBorder="1" applyAlignment="1">
      <alignment horizontal="left" vertical="center" wrapText="1"/>
    </xf>
    <xf numFmtId="0" fontId="22" fillId="7" borderId="6" xfId="0" applyFont="1" applyFill="1" applyBorder="1" applyAlignment="1">
      <alignment horizontal="center" vertical="center" wrapText="1"/>
    </xf>
    <xf numFmtId="164" fontId="21" fillId="0" borderId="1" xfId="0" applyNumberFormat="1" applyFont="1" applyBorder="1" applyAlignment="1">
      <alignment horizontal="center" vertical="center" wrapText="1"/>
    </xf>
    <xf numFmtId="0" fontId="22" fillId="7" borderId="1" xfId="0" applyFont="1" applyFill="1" applyBorder="1" applyAlignment="1">
      <alignment horizontal="center" vertical="center" wrapText="1"/>
    </xf>
    <xf numFmtId="0" fontId="20" fillId="0" borderId="0" xfId="0" applyFont="1" applyAlignment="1">
      <alignment horizontal="center" vertical="center"/>
    </xf>
    <xf numFmtId="0" fontId="21" fillId="0" borderId="1" xfId="0" applyFont="1" applyBorder="1" applyAlignment="1">
      <alignment horizontal="center" vertical="center" wrapText="1"/>
    </xf>
    <xf numFmtId="0" fontId="19" fillId="0" borderId="0" xfId="0" applyFont="1" applyAlignment="1">
      <alignment horizontal="left" vertical="top"/>
    </xf>
    <xf numFmtId="0" fontId="0" fillId="0" borderId="0" xfId="0"/>
    <xf numFmtId="0" fontId="0" fillId="0" borderId="0" xfId="0" applyAlignment="1">
      <alignment horizontal="center"/>
    </xf>
    <xf numFmtId="0" fontId="23" fillId="6" borderId="5" xfId="0" applyFont="1" applyFill="1" applyBorder="1" applyAlignment="1">
      <alignment horizontal="center" vertical="center"/>
    </xf>
    <xf numFmtId="0" fontId="23" fillId="6" borderId="4" xfId="0" applyFont="1" applyFill="1" applyBorder="1" applyAlignment="1">
      <alignment horizontal="center" vertical="center"/>
    </xf>
    <xf numFmtId="0" fontId="23" fillId="0" borderId="5" xfId="0" applyFont="1" applyBorder="1" applyAlignment="1">
      <alignment horizontal="center"/>
    </xf>
    <xf numFmtId="0" fontId="23" fillId="0" borderId="3" xfId="0" applyFont="1" applyBorder="1" applyAlignment="1">
      <alignment horizontal="center"/>
    </xf>
    <xf numFmtId="0" fontId="23" fillId="0" borderId="4" xfId="0" applyFont="1" applyBorder="1" applyAlignment="1">
      <alignment horizontal="center"/>
    </xf>
    <xf numFmtId="0" fontId="23" fillId="0" borderId="5" xfId="0" applyFont="1" applyBorder="1" applyAlignment="1">
      <alignment horizontal="center" vertical="center"/>
    </xf>
    <xf numFmtId="0" fontId="23" fillId="0" borderId="3" xfId="0" applyFont="1" applyBorder="1" applyAlignment="1">
      <alignment horizontal="center" vertical="center"/>
    </xf>
    <xf numFmtId="0" fontId="23" fillId="0" borderId="4" xfId="0" applyFont="1" applyBorder="1" applyAlignment="1">
      <alignment horizontal="center" vertical="center"/>
    </xf>
    <xf numFmtId="0" fontId="19" fillId="8" borderId="7" xfId="0" applyFont="1" applyFill="1" applyBorder="1" applyAlignment="1">
      <alignment horizontal="left" vertical="top"/>
    </xf>
    <xf numFmtId="0" fontId="19" fillId="8" borderId="8" xfId="0" applyFont="1" applyFill="1" applyBorder="1" applyAlignment="1">
      <alignment horizontal="left" vertical="top"/>
    </xf>
    <xf numFmtId="0" fontId="19" fillId="8" borderId="9" xfId="0" applyFont="1" applyFill="1" applyBorder="1" applyAlignment="1">
      <alignment horizontal="left" vertical="top"/>
    </xf>
    <xf numFmtId="0" fontId="12" fillId="2" borderId="1" xfId="0" applyFont="1" applyFill="1" applyBorder="1" applyAlignment="1">
      <alignment horizontal="center" vertical="center"/>
    </xf>
    <xf numFmtId="0" fontId="12" fillId="2" borderId="1" xfId="0" applyFont="1" applyFill="1" applyBorder="1" applyAlignment="1">
      <alignment horizontal="left" vertical="center"/>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2" fillId="3" borderId="1" xfId="0" applyFont="1" applyFill="1" applyBorder="1" applyAlignment="1">
      <alignment horizontal="left" vertical="center"/>
    </xf>
    <xf numFmtId="0" fontId="13" fillId="0" borderId="1" xfId="0" applyFont="1" applyBorder="1" applyAlignment="1">
      <alignment horizontal="left" vertical="center"/>
    </xf>
    <xf numFmtId="0" fontId="12" fillId="4" borderId="1" xfId="0" applyFont="1" applyFill="1" applyBorder="1" applyAlignment="1">
      <alignment horizontal="left"/>
    </xf>
    <xf numFmtId="0" fontId="26"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28" fillId="0" borderId="1" xfId="0" applyFont="1" applyBorder="1" applyAlignment="1">
      <alignment horizontal="left" vertical="center" wrapText="1"/>
    </xf>
    <xf numFmtId="0" fontId="13" fillId="0" borderId="1" xfId="0" applyFont="1" applyBorder="1" applyAlignment="1">
      <alignment horizontal="left" vertical="top" wrapText="1"/>
    </xf>
    <xf numFmtId="0" fontId="12" fillId="2" borderId="1" xfId="0" applyFont="1" applyFill="1" applyBorder="1" applyAlignment="1">
      <alignment horizontal="left"/>
    </xf>
    <xf numFmtId="0" fontId="12" fillId="5"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2" fillId="9"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201142</xdr:colOff>
      <xdr:row>2</xdr:row>
      <xdr:rowOff>74768</xdr:rowOff>
    </xdr:from>
    <xdr:ext cx="1919775" cy="461979"/>
    <xdr:pic>
      <xdr:nvPicPr>
        <xdr:cNvPr id="2" name="Picture 3">
          <a:extLst>
            <a:ext uri="{FF2B5EF4-FFF2-40B4-BE49-F238E27FC236}">
              <a16:creationId xmlns:a16="http://schemas.microsoft.com/office/drawing/2014/main" id="{A2F93EF5-51F9-4993-AA0A-26CC1FF82892}"/>
            </a:ext>
          </a:extLst>
        </xdr:cNvPr>
        <xdr:cNvPicPr/>
      </xdr:nvPicPr>
      <xdr:blipFill>
        <a:blip xmlns:r="http://schemas.openxmlformats.org/officeDocument/2006/relationships" r:embed="rId1"/>
        <a:stretch/>
      </xdr:blipFill>
      <xdr:spPr>
        <a:xfrm>
          <a:off x="7157754" y="2513168"/>
          <a:ext cx="1919775" cy="461979"/>
        </a:xfrm>
        <a:prstGeom prst="rect">
          <a:avLst/>
        </a:prstGeom>
        <a:noFill/>
        <a:ln w="0">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601980</xdr:colOff>
      <xdr:row>1</xdr:row>
      <xdr:rowOff>76200</xdr:rowOff>
    </xdr:from>
    <xdr:to>
      <xdr:col>10</xdr:col>
      <xdr:colOff>484179</xdr:colOff>
      <xdr:row>15</xdr:row>
      <xdr:rowOff>91662</xdr:rowOff>
    </xdr:to>
    <xdr:grpSp>
      <xdr:nvGrpSpPr>
        <xdr:cNvPr id="16" name="Group 15">
          <a:extLst>
            <a:ext uri="{FF2B5EF4-FFF2-40B4-BE49-F238E27FC236}">
              <a16:creationId xmlns:a16="http://schemas.microsoft.com/office/drawing/2014/main" id="{767B5041-0C5A-592B-7F7E-AF20785711C4}"/>
            </a:ext>
          </a:extLst>
        </xdr:cNvPr>
        <xdr:cNvGrpSpPr/>
      </xdr:nvGrpSpPr>
      <xdr:grpSpPr>
        <a:xfrm>
          <a:off x="601980" y="257908"/>
          <a:ext cx="5978199" cy="2559369"/>
          <a:chOff x="464820" y="3627120"/>
          <a:chExt cx="5978199" cy="2575782"/>
        </a:xfrm>
      </xdr:grpSpPr>
      <xdr:pic>
        <xdr:nvPicPr>
          <xdr:cNvPr id="5" name="Picture 4">
            <a:extLst>
              <a:ext uri="{FF2B5EF4-FFF2-40B4-BE49-F238E27FC236}">
                <a16:creationId xmlns:a16="http://schemas.microsoft.com/office/drawing/2014/main" id="{18989C4D-8BA2-1425-F1C8-4535B16ADC43}"/>
              </a:ext>
            </a:extLst>
          </xdr:cNvPr>
          <xdr:cNvPicPr>
            <a:picLocks noChangeAspect="1"/>
          </xdr:cNvPicPr>
        </xdr:nvPicPr>
        <xdr:blipFill>
          <a:blip xmlns:r="http://schemas.openxmlformats.org/officeDocument/2006/relationships" r:embed="rId1"/>
          <a:stretch>
            <a:fillRect/>
          </a:stretch>
        </xdr:blipFill>
        <xdr:spPr>
          <a:xfrm>
            <a:off x="1889509" y="3633395"/>
            <a:ext cx="4553510" cy="2569507"/>
          </a:xfrm>
          <a:prstGeom prst="rect">
            <a:avLst/>
          </a:prstGeom>
        </xdr:spPr>
      </xdr:pic>
      <xdr:sp macro="" textlink="">
        <xdr:nvSpPr>
          <xdr:cNvPr id="9" name="TextBox 8">
            <a:extLst>
              <a:ext uri="{FF2B5EF4-FFF2-40B4-BE49-F238E27FC236}">
                <a16:creationId xmlns:a16="http://schemas.microsoft.com/office/drawing/2014/main" id="{3E73628B-CD54-4E6E-AB91-448C7D59EDBD}"/>
              </a:ext>
            </a:extLst>
          </xdr:cNvPr>
          <xdr:cNvSpPr txBox="1"/>
        </xdr:nvSpPr>
        <xdr:spPr>
          <a:xfrm>
            <a:off x="464820" y="3627120"/>
            <a:ext cx="1402080" cy="25755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kern="1200"/>
              <a:t>download-prompt </a:t>
            </a:r>
          </a:p>
        </xdr:txBody>
      </xdr:sp>
    </xdr:grpSp>
    <xdr:clientData/>
  </xdr:twoCellAnchor>
  <xdr:twoCellAnchor>
    <xdr:from>
      <xdr:col>0</xdr:col>
      <xdr:colOff>594360</xdr:colOff>
      <xdr:row>31</xdr:row>
      <xdr:rowOff>137160</xdr:rowOff>
    </xdr:from>
    <xdr:to>
      <xdr:col>10</xdr:col>
      <xdr:colOff>448528</xdr:colOff>
      <xdr:row>46</xdr:row>
      <xdr:rowOff>0</xdr:rowOff>
    </xdr:to>
    <xdr:grpSp>
      <xdr:nvGrpSpPr>
        <xdr:cNvPr id="24" name="Group 23">
          <a:extLst>
            <a:ext uri="{FF2B5EF4-FFF2-40B4-BE49-F238E27FC236}">
              <a16:creationId xmlns:a16="http://schemas.microsoft.com/office/drawing/2014/main" id="{1B980AA2-EC2C-A349-4517-E5FEE3FC23EA}"/>
            </a:ext>
          </a:extLst>
        </xdr:cNvPr>
        <xdr:cNvGrpSpPr/>
      </xdr:nvGrpSpPr>
      <xdr:grpSpPr>
        <a:xfrm>
          <a:off x="594360" y="5770098"/>
          <a:ext cx="5950168" cy="2588456"/>
          <a:chOff x="594360" y="5839022"/>
          <a:chExt cx="5950168" cy="2621806"/>
        </a:xfrm>
      </xdr:grpSpPr>
      <xdr:sp macro="" textlink="">
        <xdr:nvSpPr>
          <xdr:cNvPr id="14" name="TextBox 13">
            <a:extLst>
              <a:ext uri="{FF2B5EF4-FFF2-40B4-BE49-F238E27FC236}">
                <a16:creationId xmlns:a16="http://schemas.microsoft.com/office/drawing/2014/main" id="{65B4FBE7-601E-4F4F-B94E-124752AB8E45}"/>
              </a:ext>
            </a:extLst>
          </xdr:cNvPr>
          <xdr:cNvSpPr txBox="1"/>
        </xdr:nvSpPr>
        <xdr:spPr>
          <a:xfrm>
            <a:off x="594360" y="5839022"/>
            <a:ext cx="1356360" cy="259880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kern="1200"/>
              <a:t>installation-prompt</a:t>
            </a:r>
          </a:p>
        </xdr:txBody>
      </xdr:sp>
      <xdr:pic>
        <xdr:nvPicPr>
          <xdr:cNvPr id="15" name="Picture 14">
            <a:extLst>
              <a:ext uri="{FF2B5EF4-FFF2-40B4-BE49-F238E27FC236}">
                <a16:creationId xmlns:a16="http://schemas.microsoft.com/office/drawing/2014/main" id="{4122B5B1-F96C-223D-1B1F-E2D89C03C1A1}"/>
              </a:ext>
            </a:extLst>
          </xdr:cNvPr>
          <xdr:cNvPicPr>
            <a:picLocks noChangeAspect="1"/>
          </xdr:cNvPicPr>
        </xdr:nvPicPr>
        <xdr:blipFill>
          <a:blip xmlns:r="http://schemas.openxmlformats.org/officeDocument/2006/relationships" r:embed="rId2"/>
          <a:stretch>
            <a:fillRect/>
          </a:stretch>
        </xdr:blipFill>
        <xdr:spPr>
          <a:xfrm>
            <a:off x="2019300" y="5857229"/>
            <a:ext cx="4525228" cy="2603599"/>
          </a:xfrm>
          <a:prstGeom prst="rect">
            <a:avLst/>
          </a:prstGeom>
        </xdr:spPr>
      </xdr:pic>
    </xdr:grpSp>
    <xdr:clientData/>
  </xdr:twoCellAnchor>
  <xdr:twoCellAnchor>
    <xdr:from>
      <xdr:col>1</xdr:col>
      <xdr:colOff>0</xdr:colOff>
      <xdr:row>16</xdr:row>
      <xdr:rowOff>83820</xdr:rowOff>
    </xdr:from>
    <xdr:to>
      <xdr:col>10</xdr:col>
      <xdr:colOff>513478</xdr:colOff>
      <xdr:row>30</xdr:row>
      <xdr:rowOff>108238</xdr:rowOff>
    </xdr:to>
    <xdr:grpSp>
      <xdr:nvGrpSpPr>
        <xdr:cNvPr id="21" name="Group 20">
          <a:extLst>
            <a:ext uri="{FF2B5EF4-FFF2-40B4-BE49-F238E27FC236}">
              <a16:creationId xmlns:a16="http://schemas.microsoft.com/office/drawing/2014/main" id="{E641ABEF-00E9-C22C-0C04-BEAE4B2CF5C4}"/>
            </a:ext>
          </a:extLst>
        </xdr:cNvPr>
        <xdr:cNvGrpSpPr/>
      </xdr:nvGrpSpPr>
      <xdr:grpSpPr>
        <a:xfrm>
          <a:off x="609600" y="2991143"/>
          <a:ext cx="5999878" cy="2568326"/>
          <a:chOff x="609600" y="3026717"/>
          <a:chExt cx="5999878" cy="2599452"/>
        </a:xfrm>
      </xdr:grpSpPr>
      <xdr:pic>
        <xdr:nvPicPr>
          <xdr:cNvPr id="12" name="Picture 11">
            <a:extLst>
              <a:ext uri="{FF2B5EF4-FFF2-40B4-BE49-F238E27FC236}">
                <a16:creationId xmlns:a16="http://schemas.microsoft.com/office/drawing/2014/main" id="{FC4A7686-BA3A-F1B5-8DEB-85BB817EE730}"/>
              </a:ext>
            </a:extLst>
          </xdr:cNvPr>
          <xdr:cNvPicPr>
            <a:picLocks noChangeAspect="1"/>
          </xdr:cNvPicPr>
        </xdr:nvPicPr>
        <xdr:blipFill>
          <a:blip xmlns:r="http://schemas.openxmlformats.org/officeDocument/2006/relationships" r:embed="rId3"/>
          <a:stretch>
            <a:fillRect/>
          </a:stretch>
        </xdr:blipFill>
        <xdr:spPr>
          <a:xfrm>
            <a:off x="2023337" y="3034337"/>
            <a:ext cx="4586141" cy="2591832"/>
          </a:xfrm>
          <a:prstGeom prst="rect">
            <a:avLst/>
          </a:prstGeom>
        </xdr:spPr>
      </xdr:pic>
      <xdr:sp macro="" textlink="">
        <xdr:nvSpPr>
          <xdr:cNvPr id="19" name="TextBox 18">
            <a:extLst>
              <a:ext uri="{FF2B5EF4-FFF2-40B4-BE49-F238E27FC236}">
                <a16:creationId xmlns:a16="http://schemas.microsoft.com/office/drawing/2014/main" id="{F8D8C609-6A73-4B80-A547-068C00715B3F}"/>
              </a:ext>
            </a:extLst>
          </xdr:cNvPr>
          <xdr:cNvSpPr txBox="1"/>
        </xdr:nvSpPr>
        <xdr:spPr>
          <a:xfrm>
            <a:off x="609600" y="3026717"/>
            <a:ext cx="1356360" cy="259789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kern="1200"/>
              <a:t>installation-confirmation</a:t>
            </a:r>
          </a:p>
        </xdr:txBody>
      </xdr:sp>
    </xdr:grpSp>
    <xdr:clientData/>
  </xdr:twoCellAnchor>
  <xdr:twoCellAnchor>
    <xdr:from>
      <xdr:col>1</xdr:col>
      <xdr:colOff>11036</xdr:colOff>
      <xdr:row>46</xdr:row>
      <xdr:rowOff>178674</xdr:rowOff>
    </xdr:from>
    <xdr:to>
      <xdr:col>10</xdr:col>
      <xdr:colOff>473030</xdr:colOff>
      <xdr:row>60</xdr:row>
      <xdr:rowOff>139913</xdr:rowOff>
    </xdr:to>
    <xdr:grpSp>
      <xdr:nvGrpSpPr>
        <xdr:cNvPr id="25" name="Group 24">
          <a:extLst>
            <a:ext uri="{FF2B5EF4-FFF2-40B4-BE49-F238E27FC236}">
              <a16:creationId xmlns:a16="http://schemas.microsoft.com/office/drawing/2014/main" id="{29F7C157-B4E0-E3AF-9369-62DADEBCBFF2}"/>
            </a:ext>
          </a:extLst>
        </xdr:cNvPr>
        <xdr:cNvGrpSpPr/>
      </xdr:nvGrpSpPr>
      <xdr:grpSpPr>
        <a:xfrm>
          <a:off x="620636" y="8537228"/>
          <a:ext cx="5948394" cy="2505147"/>
          <a:chOff x="620636" y="8639502"/>
          <a:chExt cx="5948394" cy="2536273"/>
        </a:xfrm>
      </xdr:grpSpPr>
      <xdr:pic>
        <xdr:nvPicPr>
          <xdr:cNvPr id="22" name="Picture 21">
            <a:extLst>
              <a:ext uri="{FF2B5EF4-FFF2-40B4-BE49-F238E27FC236}">
                <a16:creationId xmlns:a16="http://schemas.microsoft.com/office/drawing/2014/main" id="{542E8A4C-55CF-6A1C-6FE1-3352EC861209}"/>
              </a:ext>
            </a:extLst>
          </xdr:cNvPr>
          <xdr:cNvPicPr>
            <a:picLocks noChangeAspect="1"/>
          </xdr:cNvPicPr>
        </xdr:nvPicPr>
        <xdr:blipFill>
          <a:blip xmlns:r="http://schemas.openxmlformats.org/officeDocument/2006/relationships" r:embed="rId4"/>
          <a:stretch>
            <a:fillRect/>
          </a:stretch>
        </xdr:blipFill>
        <xdr:spPr>
          <a:xfrm>
            <a:off x="2028264" y="8639502"/>
            <a:ext cx="4540766" cy="2532995"/>
          </a:xfrm>
          <a:prstGeom prst="rect">
            <a:avLst/>
          </a:prstGeom>
        </xdr:spPr>
      </xdr:pic>
      <xdr:sp macro="" textlink="">
        <xdr:nvSpPr>
          <xdr:cNvPr id="23" name="TextBox 22">
            <a:extLst>
              <a:ext uri="{FF2B5EF4-FFF2-40B4-BE49-F238E27FC236}">
                <a16:creationId xmlns:a16="http://schemas.microsoft.com/office/drawing/2014/main" id="{CD917ABA-DBB3-48F2-B323-4DF95EF312CD}"/>
              </a:ext>
            </a:extLst>
          </xdr:cNvPr>
          <xdr:cNvSpPr txBox="1"/>
        </xdr:nvSpPr>
        <xdr:spPr>
          <a:xfrm>
            <a:off x="620636" y="8644759"/>
            <a:ext cx="1356360" cy="253101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kern="1200"/>
              <a:t> upgrade-complete </a:t>
            </a:r>
          </a:p>
        </xdr:txBody>
      </xdr:sp>
    </xdr:grp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ev.azure.com/FlexicareDevOps/ProVu%2015/_git/provu2_test_suite?version=Gbmain"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5CB9-813B-4A53-BCB1-ABF3C8BF408F}">
  <dimension ref="A3:I39"/>
  <sheetViews>
    <sheetView view="pageBreakPreview" zoomScale="55" zoomScaleNormal="100" zoomScaleSheetLayoutView="55" zoomScalePageLayoutView="55" workbookViewId="0">
      <selection activeCell="A7" sqref="A7:B7"/>
    </sheetView>
  </sheetViews>
  <sheetFormatPr defaultRowHeight="14.4" x14ac:dyDescent="0.3"/>
  <cols>
    <col min="1" max="1" width="84.44140625" customWidth="1"/>
    <col min="2" max="2" width="36" customWidth="1"/>
    <col min="3" max="3" width="56.5546875" customWidth="1"/>
    <col min="4" max="4" width="32.5546875" customWidth="1"/>
    <col min="5" max="5" width="41.77734375" customWidth="1"/>
    <col min="6" max="6" width="10.88671875" customWidth="1"/>
    <col min="7" max="7" width="45.5546875" customWidth="1"/>
  </cols>
  <sheetData>
    <row r="3" spans="1:9" ht="21" x14ac:dyDescent="0.3">
      <c r="B3" s="28"/>
      <c r="C3" s="28"/>
      <c r="D3" s="28"/>
      <c r="E3" s="28"/>
      <c r="F3" s="28"/>
      <c r="G3" s="28"/>
      <c r="H3" s="28"/>
      <c r="I3" s="28"/>
    </row>
    <row r="4" spans="1:9" ht="28.2" x14ac:dyDescent="0.3">
      <c r="A4" s="61" t="s">
        <v>73</v>
      </c>
      <c r="B4" s="61"/>
      <c r="C4" s="61"/>
      <c r="D4" s="61"/>
      <c r="E4" s="61"/>
    </row>
    <row r="7" spans="1:9" ht="28.8" x14ac:dyDescent="0.55000000000000004">
      <c r="A7" s="66" t="s">
        <v>0</v>
      </c>
      <c r="B7" s="67"/>
      <c r="C7" s="68" t="s">
        <v>67</v>
      </c>
      <c r="D7" s="69"/>
      <c r="E7" s="70"/>
      <c r="F7" s="29"/>
      <c r="G7" s="29"/>
      <c r="H7" s="29"/>
    </row>
    <row r="8" spans="1:9" ht="28.8" x14ac:dyDescent="0.3">
      <c r="A8" s="66" t="s">
        <v>1</v>
      </c>
      <c r="B8" s="67"/>
      <c r="C8" s="71" t="s">
        <v>74</v>
      </c>
      <c r="D8" s="72"/>
      <c r="E8" s="73"/>
      <c r="F8" s="30"/>
      <c r="G8" s="30"/>
      <c r="H8" s="30"/>
    </row>
    <row r="9" spans="1:9" ht="27.6" x14ac:dyDescent="0.45">
      <c r="A9" s="8"/>
      <c r="B9" s="8"/>
      <c r="C9" s="8"/>
      <c r="D9" s="9"/>
    </row>
    <row r="10" spans="1:9" ht="28.8" x14ac:dyDescent="0.55000000000000004">
      <c r="A10" s="10"/>
      <c r="B10" s="10"/>
      <c r="C10" s="10"/>
      <c r="D10" s="10"/>
    </row>
    <row r="11" spans="1:9" ht="28.2" x14ac:dyDescent="0.3">
      <c r="A11" s="63" t="s">
        <v>2</v>
      </c>
      <c r="B11" s="64"/>
      <c r="C11" s="64"/>
      <c r="D11" s="64"/>
      <c r="E11" s="64"/>
      <c r="F11" s="65"/>
    </row>
    <row r="12" spans="1:9" ht="28.8" x14ac:dyDescent="0.3">
      <c r="A12" s="31" t="s">
        <v>3</v>
      </c>
      <c r="B12" s="21" t="s">
        <v>4</v>
      </c>
      <c r="C12" s="21" t="s">
        <v>5</v>
      </c>
      <c r="D12" s="60" t="s">
        <v>6</v>
      </c>
      <c r="E12" s="60"/>
    </row>
    <row r="13" spans="1:9" ht="28.8" x14ac:dyDescent="0.3">
      <c r="A13" s="25" t="s">
        <v>7</v>
      </c>
      <c r="B13" s="25" t="s">
        <v>8</v>
      </c>
      <c r="C13" s="25" t="s">
        <v>68</v>
      </c>
      <c r="D13" s="59">
        <v>46287</v>
      </c>
      <c r="E13" s="59"/>
    </row>
    <row r="16" spans="1:9" ht="28.2" x14ac:dyDescent="0.3">
      <c r="A16" s="19" t="s">
        <v>9</v>
      </c>
      <c r="F16" s="20"/>
    </row>
    <row r="17" spans="1:6" ht="28.8" x14ac:dyDescent="0.3">
      <c r="A17" s="31" t="s">
        <v>10</v>
      </c>
      <c r="B17" s="60" t="s">
        <v>11</v>
      </c>
      <c r="C17" s="60"/>
      <c r="D17" s="60"/>
      <c r="E17" s="60"/>
    </row>
    <row r="18" spans="1:6" ht="28.8" x14ac:dyDescent="0.3">
      <c r="A18" s="33" t="s">
        <v>69</v>
      </c>
      <c r="B18" s="62" t="s">
        <v>70</v>
      </c>
      <c r="C18" s="62"/>
      <c r="D18" s="62"/>
      <c r="E18" s="62"/>
    </row>
    <row r="19" spans="1:6" ht="28.8" x14ac:dyDescent="0.3">
      <c r="A19" s="33" t="s">
        <v>71</v>
      </c>
      <c r="B19" s="62" t="s">
        <v>72</v>
      </c>
      <c r="C19" s="62"/>
      <c r="D19" s="62"/>
      <c r="E19" s="62"/>
    </row>
    <row r="23" spans="1:6" ht="15" thickBot="1" x14ac:dyDescent="0.35">
      <c r="D23" s="20"/>
    </row>
    <row r="24" spans="1:6" ht="28.8" thickBot="1" x14ac:dyDescent="0.35">
      <c r="A24" s="74" t="s">
        <v>12</v>
      </c>
      <c r="B24" s="75"/>
      <c r="C24" s="75"/>
      <c r="D24" s="75"/>
      <c r="E24" s="76"/>
      <c r="F24" s="52"/>
    </row>
    <row r="25" spans="1:6" ht="28.8" x14ac:dyDescent="0.3">
      <c r="A25" s="47" t="s">
        <v>113</v>
      </c>
      <c r="B25" s="58" t="s">
        <v>75</v>
      </c>
      <c r="C25" s="58"/>
      <c r="D25" s="58"/>
      <c r="E25" s="58"/>
      <c r="F25" s="32"/>
    </row>
    <row r="26" spans="1:6" ht="28.8" x14ac:dyDescent="0.3">
      <c r="A26" s="35" t="s">
        <v>95</v>
      </c>
      <c r="B26" s="57" t="s">
        <v>106</v>
      </c>
      <c r="C26" s="57"/>
      <c r="D26" s="57"/>
      <c r="E26" s="57"/>
    </row>
    <row r="27" spans="1:6" ht="28.8" x14ac:dyDescent="0.3">
      <c r="A27" s="36" t="s">
        <v>84</v>
      </c>
      <c r="B27" s="57" t="s">
        <v>76</v>
      </c>
      <c r="C27" s="57"/>
      <c r="D27" s="57"/>
      <c r="E27" s="57"/>
    </row>
    <row r="28" spans="1:6" ht="57.6" x14ac:dyDescent="0.3">
      <c r="A28" s="36" t="s">
        <v>83</v>
      </c>
      <c r="B28" s="57" t="s">
        <v>107</v>
      </c>
      <c r="C28" s="57"/>
      <c r="D28" s="57"/>
      <c r="E28" s="57"/>
    </row>
    <row r="29" spans="1:6" ht="28.8" x14ac:dyDescent="0.3">
      <c r="A29" s="36" t="s">
        <v>85</v>
      </c>
      <c r="B29" s="57" t="s">
        <v>96</v>
      </c>
      <c r="C29" s="57"/>
      <c r="D29" s="57"/>
      <c r="E29" s="57"/>
    </row>
    <row r="30" spans="1:6" ht="28.8" x14ac:dyDescent="0.3">
      <c r="A30" s="36" t="s">
        <v>86</v>
      </c>
      <c r="B30" s="57" t="s">
        <v>97</v>
      </c>
      <c r="C30" s="57"/>
      <c r="D30" s="57"/>
      <c r="E30" s="57"/>
    </row>
    <row r="31" spans="1:6" ht="28.8" x14ac:dyDescent="0.3">
      <c r="A31" s="36" t="s">
        <v>87</v>
      </c>
      <c r="B31" s="57" t="s">
        <v>98</v>
      </c>
      <c r="C31" s="57"/>
      <c r="D31" s="57"/>
      <c r="E31" s="57"/>
    </row>
    <row r="32" spans="1:6" ht="28.8" x14ac:dyDescent="0.3">
      <c r="A32" s="36" t="s">
        <v>88</v>
      </c>
      <c r="B32" s="57" t="s">
        <v>99</v>
      </c>
      <c r="C32" s="57"/>
      <c r="D32" s="57"/>
      <c r="E32" s="57"/>
    </row>
    <row r="33" spans="1:5" ht="28.8" x14ac:dyDescent="0.3">
      <c r="A33" s="36" t="s">
        <v>89</v>
      </c>
      <c r="B33" s="57" t="s">
        <v>100</v>
      </c>
      <c r="C33" s="57"/>
      <c r="D33" s="57"/>
      <c r="E33" s="57"/>
    </row>
    <row r="34" spans="1:5" ht="28.8" x14ac:dyDescent="0.3">
      <c r="A34" s="36" t="s">
        <v>90</v>
      </c>
      <c r="B34" s="57" t="s">
        <v>101</v>
      </c>
      <c r="C34" s="57"/>
      <c r="D34" s="57"/>
      <c r="E34" s="57"/>
    </row>
    <row r="35" spans="1:5" ht="28.8" x14ac:dyDescent="0.3">
      <c r="A35" s="36" t="s">
        <v>91</v>
      </c>
      <c r="B35" s="57" t="s">
        <v>102</v>
      </c>
      <c r="C35" s="57"/>
      <c r="D35" s="57"/>
      <c r="E35" s="57"/>
    </row>
    <row r="36" spans="1:5" x14ac:dyDescent="0.3">
      <c r="A36" s="20"/>
    </row>
    <row r="38" spans="1:5" ht="28.8" x14ac:dyDescent="0.55000000000000004">
      <c r="A38" s="38" t="s">
        <v>114</v>
      </c>
      <c r="B38" s="53" t="s">
        <v>115</v>
      </c>
      <c r="C38" s="53"/>
      <c r="D38" s="53"/>
      <c r="E38" s="53"/>
    </row>
    <row r="39" spans="1:5" ht="57.6" x14ac:dyDescent="0.3">
      <c r="A39" s="37" t="s">
        <v>116</v>
      </c>
      <c r="B39" s="54" t="s">
        <v>117</v>
      </c>
      <c r="C39" s="55"/>
      <c r="D39" s="55"/>
      <c r="E39" s="56"/>
    </row>
  </sheetData>
  <mergeCells count="25">
    <mergeCell ref="A24:E24"/>
    <mergeCell ref="D13:E13"/>
    <mergeCell ref="B17:E17"/>
    <mergeCell ref="A4:E4"/>
    <mergeCell ref="B18:E18"/>
    <mergeCell ref="B19:E19"/>
    <mergeCell ref="A11:F11"/>
    <mergeCell ref="A7:B7"/>
    <mergeCell ref="A8:B8"/>
    <mergeCell ref="C7:E7"/>
    <mergeCell ref="C8:E8"/>
    <mergeCell ref="D12:E12"/>
    <mergeCell ref="B38:E38"/>
    <mergeCell ref="B39:E39"/>
    <mergeCell ref="B34:E34"/>
    <mergeCell ref="B35:E35"/>
    <mergeCell ref="B25:E25"/>
    <mergeCell ref="B26:E26"/>
    <mergeCell ref="B27:E27"/>
    <mergeCell ref="B28:E28"/>
    <mergeCell ref="B29:E29"/>
    <mergeCell ref="B30:E30"/>
    <mergeCell ref="B31:E31"/>
    <mergeCell ref="B32:E32"/>
    <mergeCell ref="B33:E33"/>
  </mergeCells>
  <hyperlinks>
    <hyperlink ref="B39" r:id="rId1" xr:uid="{770F1C76-59EA-46FC-9575-FC1E908B10E9}"/>
  </hyperlinks>
  <pageMargins left="1" right="1" top="1" bottom="1" header="0.5" footer="0.5"/>
  <pageSetup paperSize="9" scale="41" orientation="landscape" horizontalDpi="1200" verticalDpi="1200" r:id="rId2"/>
  <headerFooter>
    <oddHeader xml:space="preserve">&amp;L&amp;G&amp;R&amp;12ProVu Vista Display
Software Integration Test Request
Document ID : GTD-001228/A
Date : 22-Sep-2026
</oddHeader>
    <oddFooter>&amp;L&amp;16GOP 004, Design and Development 
GOP004-F14 Issue No: 2&amp;R&amp;16 &amp;P of &amp;N</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FDBD-5E56-4DF6-B0D2-9C5379255BDF}">
  <dimension ref="A1:I25"/>
  <sheetViews>
    <sheetView tabSelected="1" view="pageBreakPreview" zoomScaleNormal="85" zoomScaleSheetLayoutView="100" zoomScalePageLayoutView="70" workbookViewId="0">
      <selection activeCell="A9" sqref="A9:I9"/>
    </sheetView>
  </sheetViews>
  <sheetFormatPr defaultColWidth="30.33203125" defaultRowHeight="40.200000000000003" customHeight="1" x14ac:dyDescent="0.3"/>
  <cols>
    <col min="1" max="1" width="12.109375" customWidth="1"/>
    <col min="2" max="2" width="17.44140625" customWidth="1"/>
    <col min="3" max="3" width="13.109375" customWidth="1"/>
    <col min="4" max="4" width="14.109375" customWidth="1"/>
    <col min="5" max="5" width="16" customWidth="1"/>
    <col min="6" max="6" width="16.33203125" customWidth="1"/>
    <col min="7" max="7" width="12.88671875" customWidth="1"/>
    <col min="8" max="8" width="13.77734375" customWidth="1"/>
    <col min="9" max="9" width="20.6640625" customWidth="1"/>
    <col min="10" max="10" width="5.33203125" customWidth="1"/>
    <col min="11" max="11" width="4.5546875" customWidth="1"/>
    <col min="12" max="12" width="4.21875" customWidth="1"/>
    <col min="13" max="13" width="6.21875" customWidth="1"/>
  </cols>
  <sheetData>
    <row r="1" spans="1:9" ht="15.6" x14ac:dyDescent="0.3">
      <c r="A1" s="77" t="s">
        <v>66</v>
      </c>
      <c r="B1" s="77"/>
      <c r="C1" s="77"/>
      <c r="D1" s="77"/>
      <c r="E1" s="77"/>
      <c r="F1" s="77"/>
      <c r="G1" s="77"/>
      <c r="H1" s="77"/>
      <c r="I1" s="77"/>
    </row>
    <row r="2" spans="1:9" ht="15.6" x14ac:dyDescent="0.3">
      <c r="A2" s="78" t="s">
        <v>13</v>
      </c>
      <c r="B2" s="78"/>
      <c r="C2" s="78"/>
      <c r="D2" s="78"/>
      <c r="E2" s="78"/>
      <c r="F2" s="78"/>
      <c r="G2" s="78"/>
      <c r="H2" s="78"/>
      <c r="I2" s="78"/>
    </row>
    <row r="3" spans="1:9" ht="34.799999999999997" customHeight="1" x14ac:dyDescent="0.3">
      <c r="A3" s="1" t="s">
        <v>5</v>
      </c>
      <c r="B3" s="79" t="s">
        <v>68</v>
      </c>
      <c r="C3" s="79"/>
      <c r="D3" s="79"/>
      <c r="E3" s="79"/>
      <c r="F3" s="80"/>
      <c r="G3" s="80"/>
      <c r="H3" s="81"/>
      <c r="I3" s="81"/>
    </row>
    <row r="4" spans="1:9" ht="27" customHeight="1" x14ac:dyDescent="0.3">
      <c r="A4" s="1" t="s">
        <v>14</v>
      </c>
      <c r="B4" s="82" t="s">
        <v>7</v>
      </c>
      <c r="C4" s="82"/>
      <c r="D4" s="82"/>
      <c r="E4" s="82"/>
      <c r="F4" s="80"/>
      <c r="G4" s="80"/>
      <c r="H4" s="81"/>
      <c r="I4" s="81"/>
    </row>
    <row r="5" spans="1:9" ht="25.2" customHeight="1" x14ac:dyDescent="0.3">
      <c r="A5" s="1" t="s">
        <v>15</v>
      </c>
      <c r="B5" s="82" t="s">
        <v>71</v>
      </c>
      <c r="C5" s="82"/>
      <c r="D5" s="82"/>
      <c r="E5" s="82"/>
      <c r="F5" s="80"/>
      <c r="G5" s="80"/>
      <c r="H5" s="22" t="s">
        <v>6</v>
      </c>
      <c r="I5" s="2">
        <v>46287</v>
      </c>
    </row>
    <row r="6" spans="1:9" ht="15.6" x14ac:dyDescent="0.3">
      <c r="A6" s="83" t="s">
        <v>16</v>
      </c>
      <c r="B6" s="83"/>
      <c r="C6" s="83"/>
      <c r="D6" s="83"/>
      <c r="E6" s="83"/>
      <c r="F6" s="83"/>
      <c r="G6" s="83"/>
      <c r="H6" s="83"/>
      <c r="I6" s="83"/>
    </row>
    <row r="7" spans="1:9" ht="40.200000000000003" customHeight="1" x14ac:dyDescent="0.3">
      <c r="A7" s="79" t="s">
        <v>110</v>
      </c>
      <c r="B7" s="79"/>
      <c r="C7" s="79"/>
      <c r="D7" s="79"/>
      <c r="E7" s="79"/>
      <c r="F7" s="79"/>
      <c r="G7" s="79"/>
      <c r="H7" s="79"/>
      <c r="I7" s="79"/>
    </row>
    <row r="8" spans="1:9" ht="21" customHeight="1" x14ac:dyDescent="0.3">
      <c r="A8" s="78" t="s">
        <v>17</v>
      </c>
      <c r="B8" s="78"/>
      <c r="C8" s="78"/>
      <c r="D8" s="78"/>
      <c r="E8" s="78"/>
      <c r="F8" s="78"/>
      <c r="G8" s="78"/>
      <c r="H8" s="78"/>
      <c r="I8" s="78"/>
    </row>
    <row r="9" spans="1:9" ht="105" customHeight="1" x14ac:dyDescent="0.3">
      <c r="A9" s="84" t="s">
        <v>231</v>
      </c>
      <c r="B9" s="85"/>
      <c r="C9" s="85"/>
      <c r="D9" s="85"/>
      <c r="E9" s="85"/>
      <c r="F9" s="85"/>
      <c r="G9" s="85"/>
      <c r="H9" s="85"/>
      <c r="I9" s="85"/>
    </row>
    <row r="10" spans="1:9" ht="15.6" x14ac:dyDescent="0.3">
      <c r="A10" s="78" t="s">
        <v>18</v>
      </c>
      <c r="B10" s="78"/>
      <c r="C10" s="78"/>
      <c r="D10" s="78"/>
      <c r="E10" s="78"/>
      <c r="F10" s="78"/>
      <c r="G10" s="78"/>
      <c r="H10" s="78"/>
      <c r="I10" s="78"/>
    </row>
    <row r="11" spans="1:9" ht="40.200000000000003" customHeight="1" x14ac:dyDescent="0.3">
      <c r="A11" s="79" t="s">
        <v>108</v>
      </c>
      <c r="B11" s="79"/>
      <c r="C11" s="79"/>
      <c r="D11" s="79"/>
      <c r="E11" s="79"/>
      <c r="F11" s="79"/>
      <c r="G11" s="79"/>
      <c r="H11" s="79"/>
      <c r="I11" s="79"/>
    </row>
    <row r="12" spans="1:9" ht="15.6" x14ac:dyDescent="0.3">
      <c r="A12" s="78" t="s">
        <v>19</v>
      </c>
      <c r="B12" s="78"/>
      <c r="C12" s="78"/>
      <c r="D12" s="78"/>
      <c r="E12" s="78"/>
      <c r="F12" s="78"/>
      <c r="G12" s="78"/>
      <c r="H12" s="78"/>
      <c r="I12" s="78"/>
    </row>
    <row r="13" spans="1:9" ht="15.6" x14ac:dyDescent="0.3">
      <c r="A13" s="79" t="s">
        <v>92</v>
      </c>
      <c r="B13" s="79"/>
      <c r="C13" s="79"/>
      <c r="D13" s="79"/>
      <c r="E13" s="79"/>
      <c r="F13" s="79"/>
      <c r="G13" s="79"/>
      <c r="H13" s="79"/>
      <c r="I13" s="79"/>
    </row>
    <row r="14" spans="1:9" ht="15.6" x14ac:dyDescent="0.3">
      <c r="A14" s="78" t="s">
        <v>20</v>
      </c>
      <c r="B14" s="78"/>
      <c r="C14" s="78"/>
      <c r="D14" s="78"/>
      <c r="E14" s="78"/>
      <c r="F14" s="78"/>
      <c r="G14" s="78"/>
      <c r="H14" s="78"/>
      <c r="I14" s="78"/>
    </row>
    <row r="15" spans="1:9" ht="15.6" x14ac:dyDescent="0.3">
      <c r="A15" s="79" t="s">
        <v>92</v>
      </c>
      <c r="B15" s="79"/>
      <c r="C15" s="79"/>
      <c r="D15" s="79"/>
      <c r="E15" s="79"/>
      <c r="F15" s="79"/>
      <c r="G15" s="79"/>
      <c r="H15" s="79"/>
      <c r="I15" s="79"/>
    </row>
    <row r="16" spans="1:9" ht="15.6" x14ac:dyDescent="0.3">
      <c r="A16" s="78" t="s">
        <v>21</v>
      </c>
      <c r="B16" s="78"/>
      <c r="C16" s="78"/>
      <c r="D16" s="78"/>
      <c r="E16" s="78"/>
      <c r="F16" s="78"/>
      <c r="G16" s="78"/>
      <c r="H16" s="78"/>
      <c r="I16" s="78"/>
    </row>
    <row r="17" spans="1:9" ht="85.8" customHeight="1" x14ac:dyDescent="0.3">
      <c r="A17" s="79" t="s">
        <v>257</v>
      </c>
      <c r="B17" s="79"/>
      <c r="C17" s="79"/>
      <c r="D17" s="79"/>
      <c r="E17" s="79"/>
      <c r="F17" s="79"/>
      <c r="G17" s="79"/>
      <c r="H17" s="79"/>
      <c r="I17" s="79"/>
    </row>
    <row r="18" spans="1:9" ht="15.6" x14ac:dyDescent="0.3">
      <c r="A18" s="88" t="s">
        <v>22</v>
      </c>
      <c r="B18" s="88"/>
      <c r="C18" s="88"/>
      <c r="D18" s="88"/>
      <c r="E18" s="88"/>
      <c r="F18" s="88"/>
      <c r="G18" s="88"/>
      <c r="H18" s="88"/>
      <c r="I18" s="88"/>
    </row>
    <row r="19" spans="1:9" ht="40.200000000000003" customHeight="1" x14ac:dyDescent="0.3">
      <c r="A19" s="80" t="s">
        <v>109</v>
      </c>
      <c r="B19" s="80"/>
      <c r="C19" s="80"/>
      <c r="D19" s="80"/>
      <c r="E19" s="80"/>
      <c r="F19" s="80"/>
      <c r="G19" s="80"/>
      <c r="H19" s="80"/>
      <c r="I19" s="80"/>
    </row>
    <row r="20" spans="1:9" ht="15.6" x14ac:dyDescent="0.3">
      <c r="A20" s="78" t="s">
        <v>23</v>
      </c>
      <c r="B20" s="78"/>
      <c r="C20" s="78"/>
      <c r="D20" s="78"/>
      <c r="E20" s="78"/>
      <c r="F20" s="78"/>
      <c r="G20" s="78"/>
      <c r="H20" s="78"/>
      <c r="I20" s="78"/>
    </row>
    <row r="21" spans="1:9" ht="15.6" x14ac:dyDescent="0.3">
      <c r="A21" s="86" t="s">
        <v>93</v>
      </c>
      <c r="B21" s="79"/>
      <c r="C21" s="79"/>
      <c r="D21" s="79"/>
      <c r="E21" s="79"/>
      <c r="F21" s="79"/>
      <c r="G21" s="79"/>
      <c r="H21" s="79"/>
      <c r="I21" s="79"/>
    </row>
    <row r="22" spans="1:9" ht="15.6" x14ac:dyDescent="0.3">
      <c r="A22" s="78" t="s">
        <v>24</v>
      </c>
      <c r="B22" s="78"/>
      <c r="C22" s="78"/>
      <c r="D22" s="78"/>
      <c r="E22" s="78"/>
      <c r="F22" s="78"/>
      <c r="G22" s="78"/>
      <c r="H22" s="78"/>
      <c r="I22" s="78"/>
    </row>
    <row r="23" spans="1:9" ht="14.4" x14ac:dyDescent="0.3">
      <c r="A23" s="87" t="s">
        <v>256</v>
      </c>
      <c r="B23" s="87"/>
      <c r="C23" s="87"/>
      <c r="D23" s="87"/>
      <c r="E23" s="87"/>
      <c r="F23" s="87"/>
      <c r="G23" s="87"/>
      <c r="H23" s="87"/>
      <c r="I23" s="87"/>
    </row>
    <row r="24" spans="1:9" ht="14.4" x14ac:dyDescent="0.3">
      <c r="A24" s="87"/>
      <c r="B24" s="87"/>
      <c r="C24" s="87"/>
      <c r="D24" s="87"/>
      <c r="E24" s="87"/>
      <c r="F24" s="87"/>
      <c r="G24" s="87"/>
      <c r="H24" s="87"/>
      <c r="I24" s="87"/>
    </row>
    <row r="25" spans="1:9" ht="25.2" customHeight="1" x14ac:dyDescent="0.3">
      <c r="A25" s="87"/>
      <c r="B25" s="87"/>
      <c r="C25" s="87"/>
      <c r="D25" s="87"/>
      <c r="E25" s="87"/>
      <c r="F25" s="87"/>
      <c r="G25" s="87"/>
      <c r="H25" s="87"/>
      <c r="I25" s="87"/>
    </row>
  </sheetData>
  <mergeCells count="25">
    <mergeCell ref="A21:I21"/>
    <mergeCell ref="A22:I22"/>
    <mergeCell ref="A23:I25"/>
    <mergeCell ref="A16:I16"/>
    <mergeCell ref="A17:I17"/>
    <mergeCell ref="A18:I18"/>
    <mergeCell ref="A19:I19"/>
    <mergeCell ref="A20:I20"/>
    <mergeCell ref="A6:I6"/>
    <mergeCell ref="A7:I7"/>
    <mergeCell ref="A8:I8"/>
    <mergeCell ref="A9:I9"/>
    <mergeCell ref="A10:I10"/>
    <mergeCell ref="A11:I11"/>
    <mergeCell ref="A12:I12"/>
    <mergeCell ref="A13:I13"/>
    <mergeCell ref="A14:I14"/>
    <mergeCell ref="A15:I15"/>
    <mergeCell ref="A1:I1"/>
    <mergeCell ref="A2:I2"/>
    <mergeCell ref="B3:E3"/>
    <mergeCell ref="F3:G5"/>
    <mergeCell ref="H3:I4"/>
    <mergeCell ref="B4:E4"/>
    <mergeCell ref="B5:E5"/>
  </mergeCells>
  <pageMargins left="1" right="1" top="1" bottom="1" header="0.5" footer="0.5"/>
  <pageSetup paperSize="9" scale="47" orientation="portrait" horizontalDpi="1200" verticalDpi="1200" r:id="rId1"/>
  <headerFooter>
    <oddHeader xml:space="preserve">&amp;L&amp;G&amp;R&amp;12ProVu Vista Display
Software Integration Test Request
Document ID : GTD-001228/A
Date : 22-Sep-2026
</oddHeader>
    <oddFooter>&amp;L&amp;16GOP 004, Design and Development 
GOP004-F14 Issue No: 2&amp;R&amp;16 &amp;P of &amp;N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8"/>
  <sheetViews>
    <sheetView showGridLines="0" view="pageBreakPreview" topLeftCell="C73" zoomScale="85" zoomScaleNormal="108" zoomScaleSheetLayoutView="85" zoomScalePageLayoutView="70" workbookViewId="0">
      <selection activeCell="H73" sqref="H73"/>
    </sheetView>
  </sheetViews>
  <sheetFormatPr defaultColWidth="8.6640625" defaultRowHeight="15" x14ac:dyDescent="0.25"/>
  <cols>
    <col min="1" max="1" width="17.5546875" style="3" customWidth="1"/>
    <col min="2" max="2" width="47.33203125" style="3" customWidth="1"/>
    <col min="3" max="3" width="41.33203125" style="3" customWidth="1"/>
    <col min="4" max="4" width="38.44140625" style="3" customWidth="1"/>
    <col min="5" max="5" width="3.88671875" style="3" customWidth="1"/>
    <col min="6" max="6" width="3.5546875" style="3" customWidth="1"/>
    <col min="7" max="16384" width="8.6640625" style="3"/>
  </cols>
  <sheetData>
    <row r="1" spans="1:4" ht="15.6" x14ac:dyDescent="0.25">
      <c r="A1" s="90" t="str">
        <f>'About '!A1</f>
        <v>GTD-001228:  Software Integration Test Request -06</v>
      </c>
      <c r="B1" s="90"/>
      <c r="C1" s="90"/>
      <c r="D1" s="90"/>
    </row>
    <row r="2" spans="1:4" ht="15.6" x14ac:dyDescent="0.25">
      <c r="A2" s="11" t="s">
        <v>25</v>
      </c>
      <c r="B2" s="11" t="s">
        <v>26</v>
      </c>
      <c r="C2" s="11" t="s">
        <v>27</v>
      </c>
      <c r="D2" s="11" t="s">
        <v>28</v>
      </c>
    </row>
    <row r="3" spans="1:4" ht="15.6" x14ac:dyDescent="0.25">
      <c r="A3" s="89" t="s">
        <v>29</v>
      </c>
      <c r="B3" s="89"/>
      <c r="C3" s="89"/>
      <c r="D3" s="89"/>
    </row>
    <row r="4" spans="1:4" ht="28.8" x14ac:dyDescent="0.25">
      <c r="A4" s="12">
        <v>10</v>
      </c>
      <c r="B4" s="13" t="s">
        <v>30</v>
      </c>
      <c r="C4" s="13" t="s">
        <v>31</v>
      </c>
      <c r="D4" s="13" t="s">
        <v>32</v>
      </c>
    </row>
    <row r="5" spans="1:4" ht="35.4" customHeight="1" x14ac:dyDescent="0.25">
      <c r="A5" s="12">
        <v>20</v>
      </c>
      <c r="B5" s="13" t="s">
        <v>33</v>
      </c>
      <c r="C5" s="13" t="s">
        <v>34</v>
      </c>
      <c r="D5" s="13" t="s">
        <v>35</v>
      </c>
    </row>
    <row r="6" spans="1:4" ht="133.19999999999999" customHeight="1" x14ac:dyDescent="0.25">
      <c r="A6" s="14">
        <v>30</v>
      </c>
      <c r="B6" s="15" t="s">
        <v>36</v>
      </c>
      <c r="C6" s="15" t="s">
        <v>37</v>
      </c>
      <c r="D6" s="15" t="s">
        <v>38</v>
      </c>
    </row>
    <row r="7" spans="1:4" ht="43.2" x14ac:dyDescent="0.25">
      <c r="A7" s="12">
        <v>40</v>
      </c>
      <c r="B7" s="13" t="s">
        <v>39</v>
      </c>
      <c r="C7" s="13" t="s">
        <v>40</v>
      </c>
      <c r="D7" s="13" t="s">
        <v>41</v>
      </c>
    </row>
    <row r="8" spans="1:4" ht="75.599999999999994" customHeight="1" x14ac:dyDescent="0.25">
      <c r="A8" s="91" t="s">
        <v>122</v>
      </c>
      <c r="B8" s="91"/>
      <c r="C8" s="91"/>
      <c r="D8" s="91"/>
    </row>
    <row r="9" spans="1:4" ht="46.2" customHeight="1" x14ac:dyDescent="0.25">
      <c r="A9" s="6">
        <f>A7+10</f>
        <v>50</v>
      </c>
      <c r="B9" s="51" t="s">
        <v>42</v>
      </c>
      <c r="C9" s="5" t="s">
        <v>123</v>
      </c>
      <c r="D9" s="5" t="s">
        <v>124</v>
      </c>
    </row>
    <row r="10" spans="1:4" ht="135.6" customHeight="1" x14ac:dyDescent="0.25">
      <c r="A10" s="6">
        <f>A9+10</f>
        <v>60</v>
      </c>
      <c r="B10" s="51" t="s">
        <v>125</v>
      </c>
      <c r="C10" s="5" t="s">
        <v>43</v>
      </c>
      <c r="D10" s="41" t="s">
        <v>229</v>
      </c>
    </row>
    <row r="11" spans="1:4" ht="40.200000000000003" customHeight="1" x14ac:dyDescent="0.25">
      <c r="A11" s="6">
        <f t="shared" ref="A11:A70" si="0">A10+10</f>
        <v>70</v>
      </c>
      <c r="B11" s="5" t="s">
        <v>44</v>
      </c>
      <c r="C11" s="5" t="s">
        <v>45</v>
      </c>
      <c r="D11" s="5" t="s">
        <v>46</v>
      </c>
    </row>
    <row r="12" spans="1:4" ht="55.2" customHeight="1" x14ac:dyDescent="0.25">
      <c r="A12" s="6">
        <f t="shared" si="0"/>
        <v>80</v>
      </c>
      <c r="B12" s="50" t="s">
        <v>126</v>
      </c>
      <c r="C12" s="5" t="s">
        <v>127</v>
      </c>
      <c r="D12" s="5" t="s">
        <v>128</v>
      </c>
    </row>
    <row r="13" spans="1:4" ht="42" customHeight="1" x14ac:dyDescent="0.25">
      <c r="A13" s="6">
        <f t="shared" si="0"/>
        <v>90</v>
      </c>
      <c r="B13" s="5" t="s">
        <v>47</v>
      </c>
      <c r="C13" s="5" t="s">
        <v>48</v>
      </c>
      <c r="D13" s="7" t="s">
        <v>49</v>
      </c>
    </row>
    <row r="14" spans="1:4" ht="42" customHeight="1" x14ac:dyDescent="0.25">
      <c r="A14" s="6">
        <f t="shared" si="0"/>
        <v>100</v>
      </c>
      <c r="B14" s="39" t="s">
        <v>119</v>
      </c>
      <c r="C14" s="39" t="s">
        <v>129</v>
      </c>
      <c r="D14" s="7" t="s">
        <v>130</v>
      </c>
    </row>
    <row r="15" spans="1:4" ht="244.8" x14ac:dyDescent="0.25">
      <c r="A15" s="6">
        <f t="shared" si="0"/>
        <v>110</v>
      </c>
      <c r="B15" s="43" t="s">
        <v>232</v>
      </c>
      <c r="C15" s="46" t="s">
        <v>258</v>
      </c>
      <c r="D15" s="7" t="s">
        <v>228</v>
      </c>
    </row>
    <row r="16" spans="1:4" ht="57" customHeight="1" x14ac:dyDescent="0.25">
      <c r="A16" s="6">
        <f>A15+10</f>
        <v>120</v>
      </c>
      <c r="B16" s="46" t="s">
        <v>259</v>
      </c>
      <c r="C16" s="46" t="s">
        <v>260</v>
      </c>
      <c r="D16" s="7" t="s">
        <v>261</v>
      </c>
    </row>
    <row r="17" spans="1:4" ht="258.60000000000002" customHeight="1" x14ac:dyDescent="0.25">
      <c r="A17" s="6">
        <f>A15+10</f>
        <v>120</v>
      </c>
      <c r="B17" s="23" t="s">
        <v>131</v>
      </c>
      <c r="C17" s="23" t="s">
        <v>132</v>
      </c>
      <c r="D17" s="7" t="s">
        <v>227</v>
      </c>
    </row>
    <row r="18" spans="1:4" ht="95.4" customHeight="1" x14ac:dyDescent="0.25">
      <c r="A18" s="6">
        <f t="shared" si="0"/>
        <v>130</v>
      </c>
      <c r="B18" s="5" t="s">
        <v>50</v>
      </c>
      <c r="C18" s="5" t="s">
        <v>51</v>
      </c>
      <c r="D18" s="7" t="s">
        <v>133</v>
      </c>
    </row>
    <row r="19" spans="1:4" ht="169.8" customHeight="1" x14ac:dyDescent="0.25">
      <c r="A19" s="6">
        <f t="shared" si="0"/>
        <v>140</v>
      </c>
      <c r="B19" s="16" t="s">
        <v>134</v>
      </c>
      <c r="C19" s="16" t="s">
        <v>135</v>
      </c>
      <c r="D19" s="7" t="s">
        <v>226</v>
      </c>
    </row>
    <row r="20" spans="1:4" ht="52.2" customHeight="1" x14ac:dyDescent="0.25">
      <c r="A20" s="6">
        <f t="shared" si="0"/>
        <v>150</v>
      </c>
      <c r="B20" s="23" t="s">
        <v>94</v>
      </c>
      <c r="C20" s="43" t="s">
        <v>233</v>
      </c>
      <c r="D20" s="7" t="s">
        <v>52</v>
      </c>
    </row>
    <row r="21" spans="1:4" ht="158.4" customHeight="1" x14ac:dyDescent="0.25">
      <c r="A21" s="6">
        <f t="shared" si="0"/>
        <v>160</v>
      </c>
      <c r="B21" s="5" t="s">
        <v>53</v>
      </c>
      <c r="C21" s="5" t="s">
        <v>54</v>
      </c>
      <c r="D21" s="7" t="s">
        <v>136</v>
      </c>
    </row>
    <row r="22" spans="1:4" ht="139.19999999999999" customHeight="1" x14ac:dyDescent="0.25">
      <c r="A22" s="6">
        <f t="shared" si="0"/>
        <v>170</v>
      </c>
      <c r="B22" s="27" t="s">
        <v>137</v>
      </c>
      <c r="C22" s="16" t="s">
        <v>138</v>
      </c>
      <c r="D22" s="7" t="s">
        <v>77</v>
      </c>
    </row>
    <row r="23" spans="1:4" ht="76.2" customHeight="1" x14ac:dyDescent="0.25">
      <c r="A23" s="89" t="s">
        <v>139</v>
      </c>
      <c r="B23" s="89"/>
      <c r="C23" s="89"/>
      <c r="D23" s="89"/>
    </row>
    <row r="24" spans="1:4" ht="174.6" customHeight="1" x14ac:dyDescent="0.25">
      <c r="A24" s="6">
        <f>A22+10</f>
        <v>180</v>
      </c>
      <c r="B24" s="7" t="s">
        <v>234</v>
      </c>
      <c r="C24" s="16" t="s">
        <v>140</v>
      </c>
      <c r="D24" s="7" t="s">
        <v>225</v>
      </c>
    </row>
    <row r="25" spans="1:4" ht="180" customHeight="1" x14ac:dyDescent="0.25">
      <c r="A25" s="6">
        <f t="shared" si="0"/>
        <v>190</v>
      </c>
      <c r="B25" s="7" t="s">
        <v>235</v>
      </c>
      <c r="C25" s="16" t="s">
        <v>141</v>
      </c>
      <c r="D25" s="7" t="s">
        <v>224</v>
      </c>
    </row>
    <row r="26" spans="1:4" ht="174" customHeight="1" x14ac:dyDescent="0.25">
      <c r="A26" s="6">
        <f t="shared" si="0"/>
        <v>200</v>
      </c>
      <c r="B26" s="7" t="s">
        <v>236</v>
      </c>
      <c r="C26" s="16" t="s">
        <v>141</v>
      </c>
      <c r="D26" s="7" t="s">
        <v>224</v>
      </c>
    </row>
    <row r="27" spans="1:4" ht="180.6" customHeight="1" x14ac:dyDescent="0.25">
      <c r="A27" s="6">
        <f t="shared" si="0"/>
        <v>210</v>
      </c>
      <c r="B27" s="7" t="s">
        <v>237</v>
      </c>
      <c r="C27" s="7" t="s">
        <v>142</v>
      </c>
      <c r="D27" s="7" t="s">
        <v>223</v>
      </c>
    </row>
    <row r="28" spans="1:4" ht="79.8" customHeight="1" x14ac:dyDescent="0.25">
      <c r="A28" s="6">
        <f t="shared" si="0"/>
        <v>220</v>
      </c>
      <c r="B28" s="16" t="s">
        <v>143</v>
      </c>
      <c r="C28" s="16" t="s">
        <v>144</v>
      </c>
      <c r="D28" s="7" t="s">
        <v>222</v>
      </c>
    </row>
    <row r="29" spans="1:4" ht="79.2" customHeight="1" x14ac:dyDescent="0.25">
      <c r="A29" s="89" t="s">
        <v>145</v>
      </c>
      <c r="B29" s="89"/>
      <c r="C29" s="89"/>
      <c r="D29" s="89"/>
    </row>
    <row r="30" spans="1:4" s="4" customFormat="1" ht="165" customHeight="1" x14ac:dyDescent="0.25">
      <c r="A30" s="6">
        <f>A28+10</f>
        <v>230</v>
      </c>
      <c r="B30" s="7" t="s">
        <v>238</v>
      </c>
      <c r="C30" s="7" t="s">
        <v>146</v>
      </c>
      <c r="D30" s="7" t="s">
        <v>78</v>
      </c>
    </row>
    <row r="31" spans="1:4" ht="56.4" customHeight="1" x14ac:dyDescent="0.25">
      <c r="A31" s="6">
        <f t="shared" si="0"/>
        <v>240</v>
      </c>
      <c r="B31" s="5" t="s">
        <v>55</v>
      </c>
      <c r="C31" s="5" t="s">
        <v>56</v>
      </c>
      <c r="D31" s="7" t="s">
        <v>147</v>
      </c>
    </row>
    <row r="32" spans="1:4" ht="123" customHeight="1" x14ac:dyDescent="0.25">
      <c r="A32" s="6">
        <f t="shared" si="0"/>
        <v>250</v>
      </c>
      <c r="B32" s="44" t="s">
        <v>239</v>
      </c>
      <c r="C32" s="5" t="s">
        <v>57</v>
      </c>
      <c r="D32" s="7" t="s">
        <v>221</v>
      </c>
    </row>
    <row r="33" spans="1:4" ht="75" customHeight="1" x14ac:dyDescent="0.25">
      <c r="A33" s="6">
        <f t="shared" si="0"/>
        <v>260</v>
      </c>
      <c r="B33" s="5" t="s">
        <v>148</v>
      </c>
      <c r="C33" s="16" t="s">
        <v>58</v>
      </c>
      <c r="D33" s="7" t="s">
        <v>149</v>
      </c>
    </row>
    <row r="34" spans="1:4" ht="77.400000000000006" customHeight="1" x14ac:dyDescent="0.25">
      <c r="A34" s="89" t="s">
        <v>150</v>
      </c>
      <c r="B34" s="89"/>
      <c r="C34" s="89"/>
      <c r="D34" s="89"/>
    </row>
    <row r="35" spans="1:4" ht="129.6" x14ac:dyDescent="0.25">
      <c r="A35" s="6">
        <f>A33+10</f>
        <v>270</v>
      </c>
      <c r="B35" s="34" t="s">
        <v>151</v>
      </c>
      <c r="C35" s="5" t="s">
        <v>59</v>
      </c>
      <c r="D35" s="7" t="s">
        <v>152</v>
      </c>
    </row>
    <row r="36" spans="1:4" ht="86.4" customHeight="1" x14ac:dyDescent="0.25">
      <c r="A36" s="6">
        <f t="shared" si="0"/>
        <v>280</v>
      </c>
      <c r="B36" s="43" t="s">
        <v>240</v>
      </c>
      <c r="C36" s="5" t="s">
        <v>60</v>
      </c>
      <c r="D36" s="7" t="s">
        <v>61</v>
      </c>
    </row>
    <row r="37" spans="1:4" ht="127.8" customHeight="1" x14ac:dyDescent="0.25">
      <c r="A37" s="6">
        <f t="shared" si="0"/>
        <v>290</v>
      </c>
      <c r="B37" s="34" t="s">
        <v>111</v>
      </c>
      <c r="C37" s="17" t="s">
        <v>62</v>
      </c>
      <c r="D37" s="7" t="s">
        <v>220</v>
      </c>
    </row>
    <row r="38" spans="1:4" s="4" customFormat="1" ht="93.6" customHeight="1" x14ac:dyDescent="0.25">
      <c r="A38" s="6">
        <f t="shared" si="0"/>
        <v>300</v>
      </c>
      <c r="B38" s="17" t="s">
        <v>153</v>
      </c>
      <c r="C38" s="7" t="s">
        <v>241</v>
      </c>
      <c r="D38" s="7" t="s">
        <v>242</v>
      </c>
    </row>
    <row r="39" spans="1:4" ht="127.2" customHeight="1" x14ac:dyDescent="0.25">
      <c r="A39" s="6">
        <f t="shared" si="0"/>
        <v>310</v>
      </c>
      <c r="B39" s="34" t="s">
        <v>112</v>
      </c>
      <c r="C39" s="17" t="s">
        <v>79</v>
      </c>
      <c r="D39" s="7" t="s">
        <v>219</v>
      </c>
    </row>
    <row r="40" spans="1:4" ht="70.8" customHeight="1" x14ac:dyDescent="0.25">
      <c r="A40" s="89" t="s">
        <v>154</v>
      </c>
      <c r="B40" s="89"/>
      <c r="C40" s="89"/>
      <c r="D40" s="89"/>
    </row>
    <row r="41" spans="1:4" ht="147.6" customHeight="1" x14ac:dyDescent="0.25">
      <c r="A41" s="6">
        <f>A39+10</f>
        <v>320</v>
      </c>
      <c r="B41" s="49" t="s">
        <v>155</v>
      </c>
      <c r="C41" s="17" t="s">
        <v>80</v>
      </c>
      <c r="D41" s="7" t="s">
        <v>156</v>
      </c>
    </row>
    <row r="42" spans="1:4" ht="69.599999999999994" customHeight="1" x14ac:dyDescent="0.25">
      <c r="A42" s="89" t="s">
        <v>157</v>
      </c>
      <c r="B42" s="89"/>
      <c r="C42" s="89"/>
      <c r="D42" s="89"/>
    </row>
    <row r="43" spans="1:4" ht="129.6" customHeight="1" x14ac:dyDescent="0.25">
      <c r="A43" s="6">
        <f>A41+10</f>
        <v>330</v>
      </c>
      <c r="B43" s="39" t="s">
        <v>158</v>
      </c>
      <c r="C43" s="5" t="s">
        <v>63</v>
      </c>
      <c r="D43" s="17" t="s">
        <v>81</v>
      </c>
    </row>
    <row r="44" spans="1:4" ht="91.8" customHeight="1" x14ac:dyDescent="0.25">
      <c r="A44" s="6">
        <f t="shared" si="0"/>
        <v>340</v>
      </c>
      <c r="B44" s="43" t="s">
        <v>243</v>
      </c>
      <c r="C44" s="43" t="s">
        <v>244</v>
      </c>
      <c r="D44" s="43" t="s">
        <v>245</v>
      </c>
    </row>
    <row r="45" spans="1:4" ht="92.4" customHeight="1" x14ac:dyDescent="0.25">
      <c r="A45" s="6">
        <f t="shared" si="0"/>
        <v>350</v>
      </c>
      <c r="B45" s="39" t="s">
        <v>159</v>
      </c>
      <c r="C45" s="39" t="s">
        <v>160</v>
      </c>
      <c r="D45" s="39" t="s">
        <v>161</v>
      </c>
    </row>
    <row r="46" spans="1:4" ht="76.2" customHeight="1" x14ac:dyDescent="0.25">
      <c r="A46" s="6">
        <f t="shared" si="0"/>
        <v>360</v>
      </c>
      <c r="B46" s="39" t="s">
        <v>162</v>
      </c>
      <c r="C46" s="39" t="s">
        <v>163</v>
      </c>
      <c r="D46" s="42" t="s">
        <v>230</v>
      </c>
    </row>
    <row r="47" spans="1:4" ht="105.6" customHeight="1" x14ac:dyDescent="0.25">
      <c r="A47" s="6">
        <f t="shared" si="0"/>
        <v>370</v>
      </c>
      <c r="B47" s="39" t="s">
        <v>164</v>
      </c>
      <c r="C47" s="39" t="s">
        <v>165</v>
      </c>
      <c r="D47" s="39" t="s">
        <v>166</v>
      </c>
    </row>
    <row r="48" spans="1:4" ht="81" customHeight="1" x14ac:dyDescent="0.25">
      <c r="A48" s="89" t="s">
        <v>167</v>
      </c>
      <c r="B48" s="89"/>
      <c r="C48" s="89"/>
      <c r="D48" s="89"/>
    </row>
    <row r="49" spans="1:4" ht="178.8" customHeight="1" x14ac:dyDescent="0.25">
      <c r="A49" s="6">
        <f>A47+10</f>
        <v>380</v>
      </c>
      <c r="B49" s="7" t="s">
        <v>246</v>
      </c>
      <c r="C49" s="17" t="s">
        <v>168</v>
      </c>
      <c r="D49" s="7" t="s">
        <v>218</v>
      </c>
    </row>
    <row r="50" spans="1:4" ht="76.2" customHeight="1" x14ac:dyDescent="0.25">
      <c r="A50" s="89" t="s">
        <v>169</v>
      </c>
      <c r="B50" s="89"/>
      <c r="C50" s="89"/>
      <c r="D50" s="89"/>
    </row>
    <row r="51" spans="1:4" ht="73.2" customHeight="1" x14ac:dyDescent="0.25">
      <c r="A51" s="6">
        <f>A49+10</f>
        <v>390</v>
      </c>
      <c r="B51" s="5" t="s">
        <v>64</v>
      </c>
      <c r="C51" s="5" t="s">
        <v>65</v>
      </c>
      <c r="D51" s="41" t="s">
        <v>217</v>
      </c>
    </row>
    <row r="52" spans="1:4" ht="110.4" customHeight="1" x14ac:dyDescent="0.25">
      <c r="A52" s="6">
        <f t="shared" si="0"/>
        <v>400</v>
      </c>
      <c r="B52" s="39" t="s">
        <v>170</v>
      </c>
      <c r="C52" s="39" t="s">
        <v>118</v>
      </c>
      <c r="D52" s="7" t="s">
        <v>216</v>
      </c>
    </row>
    <row r="53" spans="1:4" ht="113.4" customHeight="1" x14ac:dyDescent="0.25">
      <c r="A53" s="89" t="s">
        <v>171</v>
      </c>
      <c r="B53" s="89"/>
      <c r="C53" s="89"/>
      <c r="D53" s="89"/>
    </row>
    <row r="54" spans="1:4" ht="185.4" customHeight="1" x14ac:dyDescent="0.25">
      <c r="A54" s="6">
        <f>A52+10</f>
        <v>410</v>
      </c>
      <c r="B54" s="7" t="s">
        <v>247</v>
      </c>
      <c r="C54" s="27" t="s">
        <v>172</v>
      </c>
      <c r="D54" s="7" t="s">
        <v>248</v>
      </c>
    </row>
    <row r="55" spans="1:4" ht="158.4" x14ac:dyDescent="0.25">
      <c r="A55" s="6">
        <f t="shared" si="0"/>
        <v>420</v>
      </c>
      <c r="B55" s="7" t="s">
        <v>249</v>
      </c>
      <c r="C55" s="27" t="s">
        <v>173</v>
      </c>
      <c r="D55" s="7" t="s">
        <v>215</v>
      </c>
    </row>
    <row r="56" spans="1:4" ht="99.6" customHeight="1" x14ac:dyDescent="0.25">
      <c r="A56" s="89" t="s">
        <v>174</v>
      </c>
      <c r="B56" s="89"/>
      <c r="C56" s="89"/>
      <c r="D56" s="89"/>
    </row>
    <row r="57" spans="1:4" ht="192.6" customHeight="1" x14ac:dyDescent="0.25">
      <c r="A57" s="6">
        <f>A55+10</f>
        <v>430</v>
      </c>
      <c r="B57" s="39" t="s">
        <v>175</v>
      </c>
      <c r="C57" s="39" t="s">
        <v>176</v>
      </c>
      <c r="D57" s="41" t="s">
        <v>215</v>
      </c>
    </row>
    <row r="58" spans="1:4" ht="116.4" customHeight="1" x14ac:dyDescent="0.25">
      <c r="A58" s="6">
        <f>A57+10</f>
        <v>440</v>
      </c>
      <c r="B58" s="39" t="s">
        <v>177</v>
      </c>
      <c r="C58" s="39" t="s">
        <v>178</v>
      </c>
      <c r="D58" s="41" t="s">
        <v>214</v>
      </c>
    </row>
    <row r="59" spans="1:4" ht="97.2" customHeight="1" x14ac:dyDescent="0.25">
      <c r="A59" s="6">
        <f t="shared" ref="A59:A60" si="1">A57+10</f>
        <v>440</v>
      </c>
      <c r="B59" s="39" t="s">
        <v>121</v>
      </c>
      <c r="C59" s="39" t="s">
        <v>179</v>
      </c>
      <c r="D59" s="41" t="s">
        <v>213</v>
      </c>
    </row>
    <row r="60" spans="1:4" ht="85.8" customHeight="1" x14ac:dyDescent="0.25">
      <c r="A60" s="6">
        <f t="shared" si="1"/>
        <v>450</v>
      </c>
      <c r="B60" s="39" t="s">
        <v>120</v>
      </c>
      <c r="C60" s="39" t="s">
        <v>180</v>
      </c>
      <c r="D60" s="39" t="s">
        <v>181</v>
      </c>
    </row>
    <row r="61" spans="1:4" ht="349.2" customHeight="1" x14ac:dyDescent="0.25">
      <c r="A61" s="6">
        <f>A60+10</f>
        <v>460</v>
      </c>
      <c r="B61" s="44" t="s">
        <v>250</v>
      </c>
      <c r="C61" s="39" t="s">
        <v>182</v>
      </c>
      <c r="D61" s="41" t="s">
        <v>212</v>
      </c>
    </row>
    <row r="62" spans="1:4" ht="92.4" customHeight="1" x14ac:dyDescent="0.25">
      <c r="A62" s="89" t="s">
        <v>183</v>
      </c>
      <c r="B62" s="89"/>
      <c r="C62" s="89"/>
      <c r="D62" s="89"/>
    </row>
    <row r="63" spans="1:4" ht="118.8" customHeight="1" x14ac:dyDescent="0.25">
      <c r="A63" s="6">
        <f>A61+10</f>
        <v>470</v>
      </c>
      <c r="B63" s="7" t="s">
        <v>251</v>
      </c>
      <c r="C63" s="7" t="s">
        <v>184</v>
      </c>
      <c r="D63" s="7" t="s">
        <v>185</v>
      </c>
    </row>
    <row r="64" spans="1:4" ht="118.8" customHeight="1" x14ac:dyDescent="0.25">
      <c r="A64" s="6">
        <f t="shared" si="0"/>
        <v>480</v>
      </c>
      <c r="B64" s="43" t="s">
        <v>252</v>
      </c>
      <c r="C64" s="17" t="s">
        <v>82</v>
      </c>
      <c r="D64" s="41" t="s">
        <v>211</v>
      </c>
    </row>
    <row r="65" spans="1:4" ht="88.2" customHeight="1" x14ac:dyDescent="0.25">
      <c r="A65" s="89" t="s">
        <v>186</v>
      </c>
      <c r="B65" s="89"/>
      <c r="C65" s="89"/>
      <c r="D65" s="89"/>
    </row>
    <row r="66" spans="1:4" ht="195" customHeight="1" x14ac:dyDescent="0.25">
      <c r="A66" s="6">
        <f>A64+10</f>
        <v>490</v>
      </c>
      <c r="B66" s="7" t="s">
        <v>253</v>
      </c>
      <c r="C66" s="39" t="s">
        <v>168</v>
      </c>
      <c r="D66" s="7" t="s">
        <v>210</v>
      </c>
    </row>
    <row r="67" spans="1:4" ht="80.400000000000006" customHeight="1" x14ac:dyDescent="0.25">
      <c r="A67" s="89" t="s">
        <v>187</v>
      </c>
      <c r="B67" s="89"/>
      <c r="C67" s="89"/>
      <c r="D67" s="89"/>
    </row>
    <row r="68" spans="1:4" ht="119.4" customHeight="1" x14ac:dyDescent="0.25">
      <c r="A68" s="6">
        <f>A66+10</f>
        <v>500</v>
      </c>
      <c r="B68" s="45" t="s">
        <v>254</v>
      </c>
      <c r="C68" s="45" t="s">
        <v>241</v>
      </c>
      <c r="D68" s="45" t="s">
        <v>255</v>
      </c>
    </row>
    <row r="69" spans="1:4" ht="86.4" x14ac:dyDescent="0.25">
      <c r="A69" s="6">
        <f t="shared" si="0"/>
        <v>510</v>
      </c>
      <c r="B69" s="48" t="s">
        <v>188</v>
      </c>
      <c r="C69" s="18" t="s">
        <v>189</v>
      </c>
      <c r="D69" s="18" t="s">
        <v>190</v>
      </c>
    </row>
    <row r="70" spans="1:4" ht="130.19999999999999" customHeight="1" x14ac:dyDescent="0.25">
      <c r="A70" s="6">
        <f t="shared" si="0"/>
        <v>520</v>
      </c>
      <c r="B70" s="18" t="s">
        <v>191</v>
      </c>
      <c r="C70" s="18" t="s">
        <v>192</v>
      </c>
      <c r="D70" s="18" t="s">
        <v>193</v>
      </c>
    </row>
    <row r="71" spans="1:4" ht="78" customHeight="1" x14ac:dyDescent="0.25">
      <c r="A71" s="89" t="s">
        <v>194</v>
      </c>
      <c r="B71" s="89"/>
      <c r="C71" s="89"/>
      <c r="D71" s="89"/>
    </row>
    <row r="72" spans="1:4" ht="43.2" x14ac:dyDescent="0.25">
      <c r="A72" s="6">
        <f>A70+10</f>
        <v>530</v>
      </c>
      <c r="B72" s="24" t="s">
        <v>103</v>
      </c>
      <c r="C72" s="26" t="s">
        <v>105</v>
      </c>
      <c r="D72" s="26" t="s">
        <v>195</v>
      </c>
    </row>
    <row r="73" spans="1:4" ht="115.2" customHeight="1" x14ac:dyDescent="0.25">
      <c r="A73" s="6">
        <f t="shared" ref="A73" si="2">A72+10</f>
        <v>540</v>
      </c>
      <c r="B73" s="24" t="s">
        <v>196</v>
      </c>
      <c r="C73" s="26" t="s">
        <v>104</v>
      </c>
      <c r="D73" s="24" t="s">
        <v>197</v>
      </c>
    </row>
    <row r="74" spans="1:4" ht="69.599999999999994" customHeight="1" x14ac:dyDescent="0.25">
      <c r="A74" s="89" t="s">
        <v>198</v>
      </c>
      <c r="B74" s="89"/>
      <c r="C74" s="89"/>
      <c r="D74" s="89"/>
    </row>
    <row r="75" spans="1:4" ht="63.6" customHeight="1" x14ac:dyDescent="0.25">
      <c r="A75" s="6">
        <f>A73+10</f>
        <v>550</v>
      </c>
      <c r="B75" s="40" t="s">
        <v>199</v>
      </c>
      <c r="C75" s="40" t="s">
        <v>200</v>
      </c>
      <c r="D75" s="40" t="s">
        <v>201</v>
      </c>
    </row>
    <row r="76" spans="1:4" ht="66" customHeight="1" x14ac:dyDescent="0.25">
      <c r="A76" s="6">
        <f>A75+10</f>
        <v>560</v>
      </c>
      <c r="B76" s="40" t="s">
        <v>202</v>
      </c>
      <c r="C76" s="40" t="s">
        <v>200</v>
      </c>
      <c r="D76" s="40" t="s">
        <v>203</v>
      </c>
    </row>
    <row r="77" spans="1:4" ht="43.2" customHeight="1" x14ac:dyDescent="0.25">
      <c r="A77" s="6">
        <f t="shared" ref="A77:A78" si="3">A76+10</f>
        <v>570</v>
      </c>
      <c r="B77" s="40" t="s">
        <v>204</v>
      </c>
      <c r="C77" s="40" t="s">
        <v>205</v>
      </c>
      <c r="D77" s="40" t="s">
        <v>206</v>
      </c>
    </row>
    <row r="78" spans="1:4" ht="67.8" customHeight="1" x14ac:dyDescent="0.25">
      <c r="A78" s="6">
        <f t="shared" si="3"/>
        <v>580</v>
      </c>
      <c r="B78" s="40" t="s">
        <v>207</v>
      </c>
      <c r="C78" s="40" t="s">
        <v>208</v>
      </c>
      <c r="D78" s="40" t="s">
        <v>209</v>
      </c>
    </row>
  </sheetData>
  <mergeCells count="17">
    <mergeCell ref="A1:D1"/>
    <mergeCell ref="A3:D3"/>
    <mergeCell ref="A8:D8"/>
    <mergeCell ref="A67:D67"/>
    <mergeCell ref="A23:D23"/>
    <mergeCell ref="A29:D29"/>
    <mergeCell ref="A34:D34"/>
    <mergeCell ref="A40:D40"/>
    <mergeCell ref="A42:D42"/>
    <mergeCell ref="A48:D48"/>
    <mergeCell ref="A50:D50"/>
    <mergeCell ref="A53:D53"/>
    <mergeCell ref="A56:D56"/>
    <mergeCell ref="A62:D62"/>
    <mergeCell ref="A65:D65"/>
    <mergeCell ref="A74:D74"/>
    <mergeCell ref="A71:D71"/>
  </mergeCells>
  <pageMargins left="1" right="1" top="1" bottom="1" header="0.5" footer="0.5"/>
  <pageSetup paperSize="9" scale="47" fitToHeight="0" orientation="portrait" horizontalDpi="300" verticalDpi="300" r:id="rId1"/>
  <headerFooter>
    <oddHeader xml:space="preserve">&amp;L&amp;G&amp;R&amp;12ProVu Vista Display
Software Integration Test Request
Document ID : GTD-001228/A
Date : 22-Sep-2026
</oddHeader>
    <oddFooter>&amp;L&amp;16GOP 004, Design and Development 
GOP004-F14 Issue No: 2&amp;R&amp;16 &amp;P of &amp;N</oddFooter>
  </headerFooter>
  <rowBreaks count="2" manualBreakCount="2">
    <brk id="50" max="5" man="1"/>
    <brk id="60" max="5"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C46-6D3E-4094-9568-7C4D035F7FA3}">
  <dimension ref="A1"/>
  <sheetViews>
    <sheetView view="pageBreakPreview" topLeftCell="A25" zoomScale="130" zoomScaleNormal="145" zoomScaleSheetLayoutView="130" zoomScalePageLayoutView="70" workbookViewId="0">
      <selection activeCell="R7" sqref="R7"/>
    </sheetView>
  </sheetViews>
  <sheetFormatPr defaultRowHeight="14.4" x14ac:dyDescent="0.3"/>
  <sheetData/>
  <pageMargins left="1" right="1" top="1" bottom="1" header="0.5" footer="0.5"/>
  <pageSetup paperSize="9" scale="47" orientation="portrait" horizontalDpi="1200" verticalDpi="1200" r:id="rId1"/>
  <headerFooter>
    <oddHeader xml:space="preserve">&amp;L&amp;G&amp;R&amp;12ProVu Vista Display
Software Integration Test Request
Document ID : GTD-001228/A
Date : 22-Sep-2026
</oddHeader>
    <oddFooter>&amp;L&amp;16GOP 004, Design and Development 
GOP004-F14 Issue No: 2&amp;R&amp;16 &amp;P of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CoverPage</vt:lpstr>
      <vt:lpstr>About </vt:lpstr>
      <vt:lpstr>Test Script</vt:lpstr>
      <vt:lpstr>references</vt:lpstr>
      <vt:lpstr>CoverPage!Print_Area</vt:lpstr>
      <vt:lpstr>'Test Script'!Print_Area</vt:lpstr>
      <vt:lpstr>'Test Script'!Print_Titles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Ayush Pareek</dc:creator>
  <cp:keywords/>
  <dc:description>ProVu Vista Display</dc:description>
  <cp:lastModifiedBy>Ayush Pareek</cp:lastModifiedBy>
  <cp:revision>0</cp:revision>
  <dcterms:created xsi:type="dcterms:W3CDTF">2026-09-16T08:56:13Z</dcterms:created>
  <dcterms:modified xsi:type="dcterms:W3CDTF">2026-09-25T03:35:03Z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0x010100AE5721F878313C48AB8BCF4E9976D9AA</vt:lpwstr>
  </property>
  <property fmtid="{D5CDD505-2E9C-101B-9397-08002B2CF9AE}" pid="3" name="MSIP_Label_5122aa8a-63d8-4890-953f-1b438f48f6cb_ActionId">
    <vt:lpwstr>bc7d992f-7b60-4055-aeb4-c01bbcb7317c</vt:lpwstr>
  </property>
  <property fmtid="{D5CDD505-2E9C-101B-9397-08002B2CF9AE}" pid="4" name="MSIP_Label_5122aa8a-63d8-4890-953f-1b438f48f6cb_ContentBits">
    <vt:lpwstr>0</vt:lpwstr>
  </property>
  <property fmtid="{D5CDD505-2E9C-101B-9397-08002B2CF9AE}" pid="5" name="MSIP_Label_5122aa8a-63d8-4890-953f-1b438f48f6cb_Enabled">
    <vt:lpwstr>true</vt:lpwstr>
  </property>
  <property fmtid="{D5CDD505-2E9C-101B-9397-08002B2CF9AE}" pid="6" name="MSIP_Label_5122aa8a-63d8-4890-953f-1b438f48f6cb_Method">
    <vt:lpwstr>Standard</vt:lpwstr>
  </property>
  <property fmtid="{D5CDD505-2E9C-101B-9397-08002B2CF9AE}" pid="7" name="MSIP_Label_5122aa8a-63d8-4890-953f-1b438f48f6cb_Name">
    <vt:lpwstr>defa4170-0d19-0005-0004-bc88714345d2</vt:lpwstr>
  </property>
  <property fmtid="{D5CDD505-2E9C-101B-9397-08002B2CF9AE}" pid="8" name="MSIP_Label_5122aa8a-63d8-4890-953f-1b438f48f6cb_SetDate">
    <vt:lpwstr>2023-08-07T04:42:34Z</vt:lpwstr>
  </property>
  <property fmtid="{D5CDD505-2E9C-101B-9397-08002B2CF9AE}" pid="9" name="MSIP_Label_5122aa8a-63d8-4890-953f-1b438f48f6cb_SiteId">
    <vt:lpwstr>fdbe9f57-3e2d-42ae-bc9f-77a00cf549de</vt:lpwstr>
  </property>
  <property fmtid="{D5CDD505-2E9C-101B-9397-08002B2CF9AE}" pid="10" name="Context Creator">
    <vt:lpwstr>Windchill Admin</vt:lpwstr>
  </property>
  <property fmtid="{D5CDD505-2E9C-101B-9397-08002B2CF9AE}" pid="11" name="Context Create Timestamp">
    <vt:lpwstr>07-06-2023 16:59:34</vt:lpwstr>
  </property>
  <property fmtid="{D5CDD505-2E9C-101B-9397-08002B2CF9AE}" pid="12" name="iterationObid">
    <vt:lpwstr>OR:wt.doc.WTDocument:37555967</vt:lpwstr>
  </property>
  <property fmtid="{D5CDD505-2E9C-101B-9397-08002B2CF9AE}" pid="13" name="Created On">
    <vt:lpwstr>24-08-2026 14:52:16</vt:lpwstr>
  </property>
  <property fmtid="{D5CDD505-2E9C-101B-9397-08002B2CF9AE}" pid="14" name="wtname">
    <vt:lpwstr>Software Integration Test Request - 06</vt:lpwstr>
  </property>
  <property fmtid="{D5CDD505-2E9C-101B-9397-08002B2CF9AE}" pid="15" name="URL">
    <vt:lpwstr>https://fchill1.flexicare.com/Windchill/servlet/WindchillGW/wt.fv.master.StandardMasterService/doDirectDownload/GTD-001228%20Software%20Integration%20Test%20Request%20-06.xlsx?folderId=36426610&amp;ft=FF&amp;userid=4827843&amp;adId=37555973&amp;fileName=000000008f75ca&amp;refsize=272449&amp;mime=application%2Fvnd.openxmlformats-officedocument.spreadsheetml.sheet&amp;mk=wt.fv.master.StandardMasterService&amp;c=95&amp;riid=-1&amp;sT=1790307275&amp;sign=J%2Fv%2F27ltooD%2Fd5Pl5PcawuSaWlc0FoAsG8%2FMzF6E8gI%3D&amp;site=https%3A%2F%2Ffchill1.flexicare.com%2FWindchill%2Fservlet%2FWindchillGW&amp;AUTH_CODE=HmacSHA256&amp;isProxy=true</vt:lpwstr>
  </property>
  <property fmtid="{D5CDD505-2E9C-101B-9397-08002B2CF9AE}" pid="16" name="Modified By">
    <vt:lpwstr>Ayush Pareek</vt:lpwstr>
  </property>
  <property fmtid="{D5CDD505-2E9C-101B-9397-08002B2CF9AE}" pid="17" name="Type">
    <vt:lpwstr>Generic Technical Document (GTD)</vt:lpwstr>
  </property>
  <property fmtid="{D5CDD505-2E9C-101B-9397-08002B2CF9AE}" pid="18" name="RevisionInfo">
    <vt:lpwstr>A</vt:lpwstr>
  </property>
  <property fmtid="{D5CDD505-2E9C-101B-9397-08002B2CF9AE}" pid="19" name="Context Last Modified Timestamp">
    <vt:lpwstr>31-10-2023 22:04:24</vt:lpwstr>
  </property>
  <property fmtid="{D5CDD505-2E9C-101B-9397-08002B2CF9AE}" pid="20" name="Context Number">
    <vt:lpwstr/>
  </property>
  <property fmtid="{D5CDD505-2E9C-101B-9397-08002B2CF9AE}" pid="21" name="Document number">
    <vt:lpwstr>GTD-001228</vt:lpwstr>
  </property>
  <property fmtid="{D5CDD505-2E9C-101B-9397-08002B2CF9AE}" pid="22" name="organization">
    <vt:lpwstr>Flexicare</vt:lpwstr>
  </property>
  <property fmtid="{D5CDD505-2E9C-101B-9397-08002B2CF9AE}" pid="23" name="context">
    <vt:lpwstr>155 - ProVu Accessories</vt:lpwstr>
  </property>
  <property fmtid="{D5CDD505-2E9C-101B-9397-08002B2CF9AE}" pid="24" name="Created By">
    <vt:lpwstr>Ayush Pareek</vt:lpwstr>
  </property>
  <property fmtid="{D5CDD505-2E9C-101B-9397-08002B2CF9AE}" pid="25" name="Context Template">
    <vt:lpwstr>Flexicare Product Template1</vt:lpwstr>
  </property>
  <property fmtid="{D5CDD505-2E9C-101B-9397-08002B2CF9AE}" pid="26" name="Modified On">
    <vt:lpwstr>22-09-2026 10:00:57</vt:lpwstr>
  </property>
  <property fmtid="{D5CDD505-2E9C-101B-9397-08002B2CF9AE}" pid="27" name="lifeCycleState">
    <vt:lpwstr>Preproduction</vt:lpwstr>
  </property>
  <property fmtid="{D5CDD505-2E9C-101B-9397-08002B2CF9AE}" pid="28" name="obid">
    <vt:lpwstr>VR:wt.doc.WTDocument:36828717:895244855-1683632717428-454096398-3-157-22-195@fchill1.flexicare.com</vt:lpwstr>
  </property>
  <property fmtid="{D5CDD505-2E9C-101B-9397-08002B2CF9AE}" pid="29" name="versionInfo">
    <vt:lpwstr>A.5</vt:lpwstr>
  </property>
</Properties>
</file>